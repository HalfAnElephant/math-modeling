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1830" activeTab="8"/>
  </bookViews>
  <sheets>
    <sheet name="Notes" sheetId="1" r:id="rId1"/>
    <sheet name="UAV_Params" sheetId="2" r:id="rId2"/>
    <sheet name="NodeData" sheetId="3" r:id="rId3"/>
    <sheet name="ManualPoints" sheetId="4" r:id="rId4"/>
    <sheet name="FlightTime" sheetId="5" r:id="rId5"/>
    <sheet name="FlightEnergy" sheetId="6" r:id="rId6"/>
    <sheet name="GroundTime" sheetId="7" r:id="rId7"/>
    <sheet name="Checks" sheetId="8" r:id="rId8"/>
    <sheet name="RevisionLo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<sst xmlns="http://schemas.openxmlformats.org/spreadsheetml/2006/main" count="434" uniqueCount="254">
  <si>
    <t>附件使用说明</t>
  </si>
  <si>
    <t>项目</t>
  </si>
  <si>
    <t>说明</t>
  </si>
  <si>
    <t>整体用途</t>
  </si>
  <si>
    <t>本工作簿是赛题“面向智慧社区的多无人机—物业人员联合巡检优化”的修订平衡版附件，可直接用于问题1与问题2求解。</t>
  </si>
  <si>
    <t>问题1所需数据</t>
  </si>
  <si>
    <r>
      <rPr>
        <sz val="11"/>
        <color theme="1"/>
        <rFont val="Calibri"/>
        <charset val="1"/>
      </rPr>
      <t>NodeData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FlightTime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FlightEnergy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UAV_Params</t>
    </r>
    <r>
      <rPr>
        <sz val="11"/>
        <color theme="1"/>
        <rFont val="Noto Sans CJK SC"/>
        <charset val="134"/>
      </rPr>
      <t>。</t>
    </r>
  </si>
  <si>
    <t>问题2所需数据</t>
  </si>
  <si>
    <t>在问题1基础上再使用 ManualPoints、GroundTime；问题2中直接使用 direct_confirm_time_s 作为无人机直接确认所需累计停留时间阈值。</t>
  </si>
  <si>
    <t>节点定义</t>
  </si>
  <si>
    <r>
      <rPr>
        <sz val="11"/>
        <color theme="1"/>
        <rFont val="Calibri"/>
        <charset val="1"/>
      </rPr>
      <t xml:space="preserve">node_id=0 </t>
    </r>
    <r>
      <rPr>
        <sz val="11"/>
        <color theme="1"/>
        <rFont val="Noto Sans CJK SC"/>
        <charset val="134"/>
      </rPr>
      <t>为服务中心；</t>
    </r>
    <r>
      <rPr>
        <sz val="11"/>
        <color theme="1"/>
        <rFont val="Calibri"/>
        <charset val="1"/>
      </rPr>
      <t xml:space="preserve">node_id=1~16 </t>
    </r>
    <r>
      <rPr>
        <sz val="11"/>
        <color theme="1"/>
        <rFont val="Noto Sans CJK SC"/>
        <charset val="134"/>
      </rPr>
      <t xml:space="preserve">为巡检目标点。每次无人机任务都从 </t>
    </r>
    <r>
      <rPr>
        <sz val="11"/>
        <color theme="1"/>
        <rFont val="Calibri"/>
        <charset val="1"/>
      </rPr>
      <t xml:space="preserve">0 </t>
    </r>
    <r>
      <rPr>
        <sz val="11"/>
        <color theme="1"/>
        <rFont val="Noto Sans CJK SC"/>
        <charset val="134"/>
      </rPr>
      <t xml:space="preserve">出发并回到 </t>
    </r>
    <r>
      <rPr>
        <sz val="11"/>
        <color theme="1"/>
        <rFont val="Calibri"/>
        <charset val="1"/>
      </rPr>
      <t>0</t>
    </r>
    <r>
      <rPr>
        <sz val="11"/>
        <color theme="1"/>
        <rFont val="Noto Sans CJK SC"/>
        <charset val="134"/>
      </rPr>
      <t>。</t>
    </r>
  </si>
  <si>
    <t>中心位置说明</t>
  </si>
  <si>
    <r>
      <rPr>
        <sz val="10"/>
        <rFont val="Noto Sans CJK SC"/>
        <charset val="134"/>
      </rPr>
      <t xml:space="preserve">社区服务中心与物业服务中心同址；附件中无人机起点记为 </t>
    </r>
    <r>
      <rPr>
        <sz val="10"/>
        <rFont val="Arial"/>
        <charset val="1"/>
      </rPr>
      <t>node_id=0</t>
    </r>
    <r>
      <rPr>
        <sz val="10"/>
        <rFont val="Noto Sans CJK SC"/>
        <charset val="134"/>
      </rPr>
      <t xml:space="preserve">，物业复核起点记为 </t>
    </r>
    <r>
      <rPr>
        <sz val="10"/>
        <rFont val="Arial"/>
        <charset val="1"/>
      </rPr>
      <t>P0</t>
    </r>
    <r>
      <rPr>
        <sz val="10"/>
        <rFont val="Noto Sans CJK SC"/>
        <charset val="134"/>
      </rPr>
      <t>，二者坐标一致。</t>
    </r>
  </si>
  <si>
    <t>运营时长约束范围</t>
  </si>
  <si>
    <r>
      <rPr>
        <sz val="10"/>
        <rFont val="Arial"/>
        <charset val="1"/>
      </rPr>
      <t xml:space="preserve">operating_horizon_s </t>
    </r>
    <r>
      <rPr>
        <sz val="10"/>
        <rFont val="Noto Sans CJK SC"/>
        <charset val="134"/>
      </rPr>
      <t xml:space="preserve">用于约束无人机阶段总作业时长；物业复核耗时计入闭环总完成时间 </t>
    </r>
    <r>
      <rPr>
        <sz val="10"/>
        <rFont val="Arial"/>
        <charset val="1"/>
      </rPr>
      <t>T=T_u+T_g</t>
    </r>
    <r>
      <rPr>
        <sz val="10"/>
        <rFont val="Noto Sans CJK SC"/>
        <charset val="134"/>
      </rPr>
      <t xml:space="preserve">，但不再受 </t>
    </r>
    <r>
      <rPr>
        <sz val="10"/>
        <rFont val="Arial"/>
        <charset val="1"/>
      </rPr>
      <t xml:space="preserve">operating_horizon_s </t>
    </r>
    <r>
      <rPr>
        <sz val="10"/>
        <rFont val="Noto Sans CJK SC"/>
        <charset val="134"/>
      </rPr>
      <t>直接限制。</t>
    </r>
  </si>
  <si>
    <t>累计停留时间</t>
  </si>
  <si>
    <t>同一目标点允许被同一架或不同架无人机重复巡检；某目标点的累计停留时间 T_s 为所有访问该点停留时间之和。</t>
  </si>
  <si>
    <t>问题1判定</t>
  </si>
  <si>
    <t>若目标点 s 满足 T_s &gt;= base_hover_time_s，则该点完成基础空中巡检。</t>
  </si>
  <si>
    <t>问题2判定</t>
  </si>
  <si>
    <t>若目标点 s 满足 T_s &gt;= direct_confirm_time_s，则该点由无人机直接确认；否则需要物业复核。</t>
  </si>
  <si>
    <t>单次任务能耗</t>
  </si>
  <si>
    <t>单次任务总能耗 = 路径飞行能耗之和 + hover_power_J_per_s × 停留时间之和，应不超过 effective_energy_limit_J。</t>
  </si>
  <si>
    <t>单次任务时间</t>
  </si>
  <si>
    <t>单次任务总时间 = 路径飞行时间之和 + 停留时间之和；多次任务之间若返航换电，还需加 battery_swap_time_s。</t>
  </si>
  <si>
    <t>地面复核规则</t>
  </si>
  <si>
    <t>每个目标点都对应唯一的 manual_point_id。若目标点需要人工复核，则物业人员需访问对应 manual_point_id，并额外消耗 manual_service_time_s。</t>
  </si>
  <si>
    <t>数据性质</t>
  </si>
  <si>
    <t>本附件已将部分高难度点的 direct_confirm_time_s 上调，并适度收紧 operating_horizon_s，以增强问题2的联合优化张力。</t>
  </si>
  <si>
    <t>无人机与运营参数</t>
  </si>
  <si>
    <t>parameter</t>
  </si>
  <si>
    <t>value</t>
  </si>
  <si>
    <t>unit</t>
  </si>
  <si>
    <t>meaning</t>
  </si>
  <si>
    <t>K_max</t>
  </si>
  <si>
    <t>架</t>
  </si>
  <si>
    <t>候选无人机最大数量，上题可比较 K=1~4</t>
  </si>
  <si>
    <t>battery_capacity_J</t>
  </si>
  <si>
    <t>J</t>
  </si>
  <si>
    <t>单次出航电池容量</t>
  </si>
  <si>
    <t>safety_reserve_J</t>
  </si>
  <si>
    <t>返航与安全余量</t>
  </si>
  <si>
    <t>effective_energy_limit_J</t>
  </si>
  <si>
    <t>建议作为单次任务能耗上限</t>
  </si>
  <si>
    <t>horizontal_speed_mps</t>
  </si>
  <si>
    <t>m/s</t>
  </si>
  <si>
    <t>水平飞行速度</t>
  </si>
  <si>
    <t>vertical_speed_mps</t>
  </si>
  <si>
    <t>垂直升降速度</t>
  </si>
  <si>
    <t>horizontal_energy_J_per_m</t>
  </si>
  <si>
    <t>J/m</t>
  </si>
  <si>
    <t>水平飞行单位距离能耗</t>
  </si>
  <si>
    <t>up_energy_J_per_m</t>
  </si>
  <si>
    <t>上升单位距离能耗</t>
  </si>
  <si>
    <t>down_energy_J_per_m</t>
  </si>
  <si>
    <t>下降单位距离能耗</t>
  </si>
  <si>
    <t>hover_power_J_per_s</t>
  </si>
  <si>
    <t>J/s</t>
  </si>
  <si>
    <t>悬停观测单位时间能耗</t>
  </si>
  <si>
    <t>battery_swap_time_s</t>
  </si>
  <si>
    <t>s</t>
  </si>
  <si>
    <t>返航更换电池时间</t>
  </si>
  <si>
    <t>operating_horizon_s</t>
  </si>
  <si>
    <t>全天允许的总作业时长</t>
  </si>
  <si>
    <t>walking_speed_mps</t>
  </si>
  <si>
    <t>物业步行速度</t>
  </si>
  <si>
    <t>walking_detour_factor</t>
  </si>
  <si>
    <t>-</t>
  </si>
  <si>
    <t>地面绕行系数</t>
  </si>
  <si>
    <t>节点与目标点数据</t>
  </si>
  <si>
    <t>node_id</t>
  </si>
  <si>
    <t>node_name</t>
  </si>
  <si>
    <t>building_id</t>
  </si>
  <si>
    <t>x_m</t>
  </si>
  <si>
    <t>y_m</t>
  </si>
  <si>
    <t>z_m</t>
  </si>
  <si>
    <t>priority_level</t>
  </si>
  <si>
    <t>priority_weight</t>
  </si>
  <si>
    <t>issue_type</t>
  </si>
  <si>
    <t>base_hover_time_s</t>
  </si>
  <si>
    <t>direct_confirm_time_s</t>
  </si>
  <si>
    <t>extra_confirm_time_s</t>
  </si>
  <si>
    <t>manual_point_id</t>
  </si>
  <si>
    <t>manual_x_m</t>
  </si>
  <si>
    <t>manual_y_m</t>
  </si>
  <si>
    <t>manual_service_time_s</t>
  </si>
  <si>
    <t>direct_out_back_flight_energy_J</t>
  </si>
  <si>
    <t>direct_base_roundtrip_total_energy_J</t>
  </si>
  <si>
    <t>direct_confirm_roundtrip_total_energy_J</t>
  </si>
  <si>
    <t>remarks</t>
  </si>
  <si>
    <t>社区服务中心</t>
  </si>
  <si>
    <t>DEPOT</t>
  </si>
  <si>
    <t>核心</t>
  </si>
  <si>
    <t>起降点</t>
  </si>
  <si>
    <t>P0</t>
  </si>
  <si>
    <t>无人机起降与换电点</t>
  </si>
  <si>
    <r>
      <rPr>
        <sz val="11"/>
        <color rgb="FF006100"/>
        <rFont val="Cambria"/>
        <charset val="1"/>
      </rPr>
      <t>B1-</t>
    </r>
    <r>
      <rPr>
        <sz val="11"/>
        <color rgb="FF006100"/>
        <rFont val="Noto Sans CJK SC"/>
        <charset val="134"/>
      </rPr>
      <t>东立面裂缝</t>
    </r>
  </si>
  <si>
    <t>B1</t>
  </si>
  <si>
    <t>中</t>
  </si>
  <si>
    <t>立面裂缝</t>
  </si>
  <si>
    <t>MP01</t>
  </si>
  <si>
    <t>靠近东南角</t>
  </si>
  <si>
    <r>
      <rPr>
        <sz val="11"/>
        <color rgb="FF006100"/>
        <rFont val="Cambria"/>
        <charset val="1"/>
      </rPr>
      <t>B1-</t>
    </r>
    <r>
      <rPr>
        <sz val="11"/>
        <color rgb="FF006100"/>
        <rFont val="Noto Sans CJK SC"/>
        <charset val="134"/>
      </rPr>
      <t>屋顶积水</t>
    </r>
  </si>
  <si>
    <t>高</t>
  </si>
  <si>
    <t>排水异常</t>
  </si>
  <si>
    <t>MP02</t>
  </si>
  <si>
    <t>雨后优先复核；无人机直接确认门槛较高</t>
  </si>
  <si>
    <r>
      <rPr>
        <sz val="11"/>
        <color rgb="FF006100"/>
        <rFont val="Cambria"/>
        <charset val="1"/>
      </rPr>
      <t>B1-</t>
    </r>
    <r>
      <rPr>
        <sz val="11"/>
        <color rgb="FF006100"/>
        <rFont val="Noto Sans CJK SC"/>
        <charset val="134"/>
      </rPr>
      <t>消防连廊顶部</t>
    </r>
  </si>
  <si>
    <t>低</t>
  </si>
  <si>
    <t>附属设施</t>
  </si>
  <si>
    <t>MP03</t>
  </si>
  <si>
    <t>例行巡查</t>
  </si>
  <si>
    <r>
      <rPr>
        <sz val="11"/>
        <color rgb="FF006100"/>
        <rFont val="Cambria"/>
        <charset val="1"/>
      </rPr>
      <t>B2-</t>
    </r>
    <r>
      <rPr>
        <sz val="11"/>
        <color rgb="FF006100"/>
        <rFont val="Noto Sans CJK SC"/>
        <charset val="134"/>
      </rPr>
      <t>空调支架锈蚀</t>
    </r>
  </si>
  <si>
    <t>B2</t>
  </si>
  <si>
    <t>金属锈蚀</t>
  </si>
  <si>
    <t>MP04</t>
  </si>
  <si>
    <t>住户投诉点</t>
  </si>
  <si>
    <r>
      <rPr>
        <sz val="11"/>
        <color rgb="FF006100"/>
        <rFont val="Cambria"/>
        <charset val="1"/>
      </rPr>
      <t>B2-</t>
    </r>
    <r>
      <rPr>
        <sz val="11"/>
        <color rgb="FF006100"/>
        <rFont val="Noto Sans CJK SC"/>
        <charset val="134"/>
      </rPr>
      <t>屋面排水口堵塞</t>
    </r>
  </si>
  <si>
    <t>MP05</t>
  </si>
  <si>
    <t>排水类问题需更长观测时间</t>
  </si>
  <si>
    <r>
      <rPr>
        <sz val="11"/>
        <color rgb="FF006100"/>
        <rFont val="Cambria"/>
        <charset val="1"/>
      </rPr>
      <t>B2-</t>
    </r>
    <r>
      <rPr>
        <sz val="11"/>
        <color rgb="FF006100"/>
        <rFont val="Noto Sans CJK SC"/>
        <charset val="134"/>
      </rPr>
      <t>北立面瓷砖鼓包</t>
    </r>
  </si>
  <si>
    <t>外立面风险</t>
  </si>
  <si>
    <t>MP06</t>
  </si>
  <si>
    <t>需近距离确认</t>
  </si>
  <si>
    <r>
      <rPr>
        <sz val="11"/>
        <color rgb="FF006100"/>
        <rFont val="Cambria"/>
        <charset val="1"/>
      </rPr>
      <t>B3-</t>
    </r>
    <r>
      <rPr>
        <sz val="11"/>
        <color rgb="FF006100"/>
        <rFont val="Noto Sans CJK SC"/>
        <charset val="134"/>
      </rPr>
      <t>西侧窗框松动</t>
    </r>
  </si>
  <si>
    <t>B3</t>
  </si>
  <si>
    <t>构件松动</t>
  </si>
  <si>
    <t>MP07</t>
  </si>
  <si>
    <t>风大时优先</t>
  </si>
  <si>
    <r>
      <rPr>
        <sz val="11"/>
        <color rgb="FF006100"/>
        <rFont val="Cambria"/>
        <charset val="1"/>
      </rPr>
      <t>B3-</t>
    </r>
    <r>
      <rPr>
        <sz val="11"/>
        <color rgb="FF006100"/>
        <rFont val="Noto Sans CJK SC"/>
        <charset val="134"/>
      </rPr>
      <t>屋顶通信箱体</t>
    </r>
  </si>
  <si>
    <t>设备异常</t>
  </si>
  <si>
    <t>MP08</t>
  </si>
  <si>
    <t>设备异常识别困难，建议与人工复核比较</t>
  </si>
  <si>
    <r>
      <rPr>
        <sz val="11"/>
        <color rgb="FF006100"/>
        <rFont val="Cambria"/>
        <charset val="1"/>
      </rPr>
      <t>B4-</t>
    </r>
    <r>
      <rPr>
        <sz val="11"/>
        <color rgb="FF006100"/>
        <rFont val="Noto Sans CJK SC"/>
        <charset val="134"/>
      </rPr>
      <t>南外墙脱落点</t>
    </r>
  </si>
  <si>
    <t>B4</t>
  </si>
  <si>
    <t>MP09</t>
  </si>
  <si>
    <t>高风险脱落点，建议比较空地分工</t>
  </si>
  <si>
    <r>
      <rPr>
        <sz val="11"/>
        <color rgb="FF006100"/>
        <rFont val="Cambria"/>
        <charset val="1"/>
      </rPr>
      <t>B4-</t>
    </r>
    <r>
      <rPr>
        <sz val="11"/>
        <color rgb="FF006100"/>
        <rFont val="Noto Sans CJK SC"/>
        <charset val="134"/>
      </rPr>
      <t>屋顶天沟堆积</t>
    </r>
  </si>
  <si>
    <t>MP10</t>
  </si>
  <si>
    <t>清运后复检</t>
  </si>
  <si>
    <r>
      <rPr>
        <sz val="11"/>
        <color rgb="FF006100"/>
        <rFont val="Cambria"/>
        <charset val="1"/>
      </rPr>
      <t>B5-</t>
    </r>
    <r>
      <rPr>
        <sz val="11"/>
        <color rgb="FF006100"/>
        <rFont val="Noto Sans CJK SC"/>
        <charset val="134"/>
      </rPr>
      <t>屋顶消防标识遮挡</t>
    </r>
  </si>
  <si>
    <t>B5</t>
  </si>
  <si>
    <t>标识问题</t>
  </si>
  <si>
    <t>MP11</t>
  </si>
  <si>
    <r>
      <rPr>
        <sz val="11"/>
        <color rgb="FF006100"/>
        <rFont val="Cambria"/>
        <charset val="1"/>
      </rPr>
      <t>B5-</t>
    </r>
    <r>
      <rPr>
        <sz val="11"/>
        <color rgb="FF006100"/>
        <rFont val="Noto Sans CJK SC"/>
        <charset val="134"/>
      </rPr>
      <t>东侧外挂线缆</t>
    </r>
  </si>
  <si>
    <t>线缆异常</t>
  </si>
  <si>
    <t>MP12</t>
  </si>
  <si>
    <t>需到场确认</t>
  </si>
  <si>
    <r>
      <rPr>
        <sz val="11"/>
        <color rgb="FF006100"/>
        <rFont val="Cambria"/>
        <charset val="1"/>
      </rPr>
      <t>B6-</t>
    </r>
    <r>
      <rPr>
        <sz val="11"/>
        <color rgb="FF006100"/>
        <rFont val="Noto Sans CJK SC"/>
        <charset val="134"/>
      </rPr>
      <t>屋顶空调机组异常</t>
    </r>
  </si>
  <si>
    <t>B6</t>
  </si>
  <si>
    <t>MP13</t>
  </si>
  <si>
    <t>设备异常识别困难，阈值上调</t>
  </si>
  <si>
    <r>
      <rPr>
        <sz val="11"/>
        <color rgb="FF006100"/>
        <rFont val="Cambria"/>
        <charset val="1"/>
      </rPr>
      <t>B6-</t>
    </r>
    <r>
      <rPr>
        <sz val="11"/>
        <color rgb="FF006100"/>
        <rFont val="Noto Sans CJK SC"/>
        <charset val="134"/>
      </rPr>
      <t>西立面渗水痕迹</t>
    </r>
  </si>
  <si>
    <t>渗漏风险</t>
  </si>
  <si>
    <t>MP14</t>
  </si>
  <si>
    <t>雨天后易复发</t>
  </si>
  <si>
    <r>
      <rPr>
        <sz val="11"/>
        <color rgb="FF006100"/>
        <rFont val="Cambria"/>
        <charset val="1"/>
      </rPr>
      <t>B7-</t>
    </r>
    <r>
      <rPr>
        <sz val="11"/>
        <color rgb="FF006100"/>
        <rFont val="Noto Sans CJK SC"/>
        <charset val="134"/>
      </rPr>
      <t>光伏棚支架松动</t>
    </r>
  </si>
  <si>
    <t>B7</t>
  </si>
  <si>
    <t>MP15</t>
  </si>
  <si>
    <t>需结合地面查看</t>
  </si>
  <si>
    <r>
      <rPr>
        <sz val="11"/>
        <color rgb="FF006100"/>
        <rFont val="Cambria"/>
        <charset val="1"/>
      </rPr>
      <t>B7-</t>
    </r>
    <r>
      <rPr>
        <sz val="11"/>
        <color rgb="FF006100"/>
        <rFont val="Noto Sans CJK SC"/>
        <charset val="134"/>
      </rPr>
      <t>屋顶围挡破损</t>
    </r>
  </si>
  <si>
    <t>屋顶构件</t>
  </si>
  <si>
    <t>MP16</t>
  </si>
  <si>
    <t>高风险屋顶构件，直接确认门槛最高</t>
  </si>
  <si>
    <t>物业复核点数据</t>
  </si>
  <si>
    <t>mapped_target_id</t>
  </si>
  <si>
    <t>note</t>
  </si>
  <si>
    <t>物业服务中心</t>
  </si>
  <si>
    <t>物业出发与返回点</t>
  </si>
  <si>
    <r>
      <rPr>
        <sz val="11"/>
        <color rgb="FF666666"/>
        <rFont val="Cambria"/>
        <charset val="1"/>
      </rPr>
      <t>B1-</t>
    </r>
    <r>
      <rPr>
        <sz val="11"/>
        <color rgb="FF666666"/>
        <rFont val="Noto Sans CJK SC"/>
        <charset val="134"/>
      </rPr>
      <t>东立面裂缝</t>
    </r>
  </si>
  <si>
    <r>
      <rPr>
        <sz val="11"/>
        <color rgb="FF666666"/>
        <rFont val="Cambria"/>
        <charset val="1"/>
      </rPr>
      <t>B1-</t>
    </r>
    <r>
      <rPr>
        <sz val="11"/>
        <color rgb="FF666666"/>
        <rFont val="Noto Sans CJK SC"/>
        <charset val="134"/>
      </rPr>
      <t>屋顶积水</t>
    </r>
  </si>
  <si>
    <r>
      <rPr>
        <sz val="11"/>
        <color rgb="FF666666"/>
        <rFont val="Cambria"/>
        <charset val="1"/>
      </rPr>
      <t>B1-</t>
    </r>
    <r>
      <rPr>
        <sz val="11"/>
        <color rgb="FF666666"/>
        <rFont val="Noto Sans CJK SC"/>
        <charset val="134"/>
      </rPr>
      <t>消防连廊顶部</t>
    </r>
  </si>
  <si>
    <r>
      <rPr>
        <sz val="11"/>
        <color rgb="FF666666"/>
        <rFont val="Cambria"/>
        <charset val="1"/>
      </rPr>
      <t>B2-</t>
    </r>
    <r>
      <rPr>
        <sz val="11"/>
        <color rgb="FF666666"/>
        <rFont val="Noto Sans CJK SC"/>
        <charset val="134"/>
      </rPr>
      <t>空调支架锈蚀</t>
    </r>
  </si>
  <si>
    <r>
      <rPr>
        <sz val="11"/>
        <color rgb="FF666666"/>
        <rFont val="Cambria"/>
        <charset val="1"/>
      </rPr>
      <t>B2-</t>
    </r>
    <r>
      <rPr>
        <sz val="11"/>
        <color rgb="FF666666"/>
        <rFont val="Noto Sans CJK SC"/>
        <charset val="134"/>
      </rPr>
      <t>屋面排水口堵塞</t>
    </r>
  </si>
  <si>
    <r>
      <rPr>
        <sz val="11"/>
        <color rgb="FF666666"/>
        <rFont val="Cambria"/>
        <charset val="1"/>
      </rPr>
      <t>B2-</t>
    </r>
    <r>
      <rPr>
        <sz val="11"/>
        <color rgb="FF666666"/>
        <rFont val="Noto Sans CJK SC"/>
        <charset val="134"/>
      </rPr>
      <t>北立面瓷砖鼓包</t>
    </r>
  </si>
  <si>
    <r>
      <rPr>
        <sz val="11"/>
        <color rgb="FF666666"/>
        <rFont val="Cambria"/>
        <charset val="1"/>
      </rPr>
      <t>B3-</t>
    </r>
    <r>
      <rPr>
        <sz val="11"/>
        <color rgb="FF666666"/>
        <rFont val="Noto Sans CJK SC"/>
        <charset val="134"/>
      </rPr>
      <t>西侧窗框松动</t>
    </r>
  </si>
  <si>
    <r>
      <rPr>
        <sz val="11"/>
        <color rgb="FF666666"/>
        <rFont val="Cambria"/>
        <charset val="1"/>
      </rPr>
      <t>B3-</t>
    </r>
    <r>
      <rPr>
        <sz val="11"/>
        <color rgb="FF666666"/>
        <rFont val="Noto Sans CJK SC"/>
        <charset val="134"/>
      </rPr>
      <t>屋顶通信箱体</t>
    </r>
  </si>
  <si>
    <r>
      <rPr>
        <sz val="11"/>
        <color rgb="FF666666"/>
        <rFont val="Cambria"/>
        <charset val="1"/>
      </rPr>
      <t>B4-</t>
    </r>
    <r>
      <rPr>
        <sz val="11"/>
        <color rgb="FF666666"/>
        <rFont val="Noto Sans CJK SC"/>
        <charset val="134"/>
      </rPr>
      <t>南外墙脱落点</t>
    </r>
  </si>
  <si>
    <r>
      <rPr>
        <sz val="11"/>
        <color rgb="FF666666"/>
        <rFont val="Cambria"/>
        <charset val="1"/>
      </rPr>
      <t>B4-</t>
    </r>
    <r>
      <rPr>
        <sz val="11"/>
        <color rgb="FF666666"/>
        <rFont val="Noto Sans CJK SC"/>
        <charset val="134"/>
      </rPr>
      <t>屋顶天沟堆积</t>
    </r>
  </si>
  <si>
    <r>
      <rPr>
        <sz val="11"/>
        <color rgb="FF666666"/>
        <rFont val="Cambria"/>
        <charset val="1"/>
      </rPr>
      <t>B5-</t>
    </r>
    <r>
      <rPr>
        <sz val="11"/>
        <color rgb="FF666666"/>
        <rFont val="Noto Sans CJK SC"/>
        <charset val="134"/>
      </rPr>
      <t>屋顶消防标识遮挡</t>
    </r>
  </si>
  <si>
    <r>
      <rPr>
        <sz val="11"/>
        <color rgb="FF666666"/>
        <rFont val="Cambria"/>
        <charset val="1"/>
      </rPr>
      <t>B5-</t>
    </r>
    <r>
      <rPr>
        <sz val="11"/>
        <color rgb="FF666666"/>
        <rFont val="Noto Sans CJK SC"/>
        <charset val="134"/>
      </rPr>
      <t>东侧外挂线缆</t>
    </r>
  </si>
  <si>
    <r>
      <rPr>
        <sz val="11"/>
        <color rgb="FF666666"/>
        <rFont val="Cambria"/>
        <charset val="1"/>
      </rPr>
      <t>B6-</t>
    </r>
    <r>
      <rPr>
        <sz val="11"/>
        <color rgb="FF666666"/>
        <rFont val="Noto Sans CJK SC"/>
        <charset val="134"/>
      </rPr>
      <t>屋顶空调机组异常</t>
    </r>
  </si>
  <si>
    <r>
      <rPr>
        <sz val="11"/>
        <color rgb="FF666666"/>
        <rFont val="Cambria"/>
        <charset val="1"/>
      </rPr>
      <t>B6-</t>
    </r>
    <r>
      <rPr>
        <sz val="11"/>
        <color rgb="FF666666"/>
        <rFont val="Noto Sans CJK SC"/>
        <charset val="134"/>
      </rPr>
      <t>西立面渗水痕迹</t>
    </r>
  </si>
  <si>
    <r>
      <rPr>
        <sz val="11"/>
        <color rgb="FF666666"/>
        <rFont val="Cambria"/>
        <charset val="1"/>
      </rPr>
      <t>B7-</t>
    </r>
    <r>
      <rPr>
        <sz val="11"/>
        <color rgb="FF666666"/>
        <rFont val="Noto Sans CJK SC"/>
        <charset val="134"/>
      </rPr>
      <t>光伏棚支架松动</t>
    </r>
  </si>
  <si>
    <r>
      <rPr>
        <sz val="11"/>
        <color rgb="FF666666"/>
        <rFont val="Cambria"/>
        <charset val="1"/>
      </rPr>
      <t>B7-</t>
    </r>
    <r>
      <rPr>
        <sz val="11"/>
        <color rgb="FF666666"/>
        <rFont val="Noto Sans CJK SC"/>
        <charset val="134"/>
      </rPr>
      <t>屋顶围挡破损</t>
    </r>
  </si>
  <si>
    <t>节点间飞行时间矩阵（秒）</t>
  </si>
  <si>
    <t>from_id</t>
  </si>
  <si>
    <t>from_name</t>
  </si>
  <si>
    <t>节点间飞行能耗矩阵（焦耳）</t>
  </si>
  <si>
    <t>物业复核点间地面通行时间矩阵（秒）</t>
  </si>
  <si>
    <t>一致性检查与建模辅助统计</t>
  </si>
  <si>
    <t>检查项</t>
  </si>
  <si>
    <t>结果</t>
  </si>
  <si>
    <t>单位</t>
  </si>
  <si>
    <t>目标点数量</t>
  </si>
  <si>
    <t>个</t>
  </si>
  <si>
    <t>不含服务中心</t>
  </si>
  <si>
    <t>基础巡检总停留时间</t>
  </si>
  <si>
    <t>问题1至少需要满足的累计停留时间总和</t>
  </si>
  <si>
    <t>直接确认总停留时间</t>
  </si>
  <si>
    <t>若全部由无人机直接确认所需的累计停留时间总和</t>
  </si>
  <si>
    <t>确认时间均不小于基础时间</t>
  </si>
  <si>
    <t>应为“是”</t>
  </si>
  <si>
    <t>有效单次任务能耗上限</t>
  </si>
  <si>
    <t>建议单次任务总能耗上限</t>
  </si>
  <si>
    <t>最远目标基础往返总能耗</t>
  </si>
  <si>
    <t>含基础悬停，不含换电</t>
  </si>
  <si>
    <t>最远目标直接确认往返总能耗</t>
  </si>
  <si>
    <t>含直接确认所需悬停，不含换电</t>
  </si>
  <si>
    <t>全部目标基础悬停理论最小能耗</t>
  </si>
  <si>
    <t>仅悬停部分，不含飞行</t>
  </si>
  <si>
    <t>全部目标直接确认理论最小能耗</t>
  </si>
  <si>
    <t>人工复核总现场服务时间</t>
  </si>
  <si>
    <t>若全部转物业复核，仅现场处理所需时间</t>
  </si>
  <si>
    <t>运营时长上限</t>
  </si>
  <si>
    <t>用于判断不同K下方案是否在给定时长内完成</t>
  </si>
  <si>
    <t>最大单点直接确认仍可单独可行</t>
  </si>
  <si>
    <t>应为“是”；表示任一目标点单独执行直接确认时不超过单次能耗上限</t>
  </si>
  <si>
    <t>物业与无人机起点是否同址</t>
  </si>
  <si>
    <r>
      <rPr>
        <sz val="10"/>
        <rFont val="Noto Sans CJK SC"/>
        <charset val="134"/>
      </rPr>
      <t>应为“是”；用于说明节点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与</t>
    </r>
    <r>
      <rPr>
        <sz val="10"/>
        <rFont val="Arial"/>
        <charset val="1"/>
      </rPr>
      <t>P0</t>
    </r>
    <r>
      <rPr>
        <sz val="10"/>
        <rFont val="Noto Sans CJK SC"/>
        <charset val="134"/>
      </rPr>
      <t>坐标一致</t>
    </r>
  </si>
  <si>
    <r>
      <rPr>
        <sz val="10"/>
        <rFont val="Arial"/>
        <charset val="1"/>
      </rPr>
      <t xml:space="preserve">operating_horizon_s </t>
    </r>
    <r>
      <rPr>
        <sz val="10"/>
        <rFont val="Noto Sans CJK SC"/>
        <charset val="134"/>
      </rPr>
      <t>仅约束无人机阶段</t>
    </r>
  </si>
  <si>
    <r>
      <rPr>
        <sz val="10"/>
        <rFont val="Noto Sans CJK SC"/>
        <charset val="134"/>
      </rPr>
      <t>问题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中物业阶段时间计入闭环总时间，但不受该上限直接限制</t>
    </r>
  </si>
  <si>
    <t>基础巡检仅按悬停估计的最少任务数</t>
  </si>
  <si>
    <t>趟</t>
  </si>
  <si>
    <t>忽略飞行差异时的理论下界</t>
  </si>
  <si>
    <t>直接确认仅按悬停估计的最少任务数</t>
  </si>
  <si>
    <t>修订记录</t>
  </si>
  <si>
    <t>修订项</t>
  </si>
  <si>
    <t>内容</t>
  </si>
  <si>
    <t>目的</t>
  </si>
  <si>
    <t>题面-附件接口</t>
  </si>
  <si>
    <t>统一使用 direct_confirm_time_s，不再要求附件给出 β_s 与 θ_s</t>
  </si>
  <si>
    <t>避免 Word 与附件字段不一致</t>
  </si>
  <si>
    <t>问题2张力</t>
  </si>
  <si>
    <t>提高若干高难度目标点的 direct_confirm_time_s</t>
  </si>
  <si>
    <t>避免“无人机全包”过于明显</t>
  </si>
  <si>
    <t>人工复核代价</t>
  </si>
  <si>
    <t>适度下调 manual_service_time_s</t>
  </si>
  <si>
    <t>让空地联合分工更有比较空间</t>
  </si>
  <si>
    <t>资源约束</t>
  </si>
  <si>
    <t>将 operating_horizon_s 从 7200 s 调整为 3000 s</t>
  </si>
  <si>
    <t>增强机队规模比较与方案筛选意义</t>
  </si>
  <si>
    <t>辅助检查</t>
  </si>
  <si>
    <t>新增人工服务总时长、理论最少任务数等检查项</t>
  </si>
  <si>
    <t>便于参赛者快速核验数据规模与约束强度</t>
  </si>
  <si>
    <t>术语一致性</t>
  </si>
  <si>
    <r>
      <rPr>
        <sz val="10"/>
        <rFont val="Noto Sans CJK SC"/>
        <charset val="134"/>
      </rPr>
      <t>明确物业服务中心与社区服务中心同址，分别记为节点</t>
    </r>
    <r>
      <rPr>
        <sz val="10"/>
        <rFont val="Arial"/>
        <charset val="1"/>
      </rPr>
      <t>0</t>
    </r>
    <r>
      <rPr>
        <sz val="10"/>
        <rFont val="Noto Sans CJK SC"/>
        <charset val="134"/>
      </rPr>
      <t>与</t>
    </r>
    <r>
      <rPr>
        <sz val="10"/>
        <rFont val="Arial"/>
        <charset val="1"/>
      </rPr>
      <t>P0</t>
    </r>
  </si>
  <si>
    <t>消除起点命名歧义</t>
  </si>
  <si>
    <r>
      <rPr>
        <sz val="10"/>
        <rFont val="Noto Sans CJK SC"/>
        <charset val="134"/>
      </rPr>
      <t>问题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约束范围</t>
    </r>
  </si>
  <si>
    <r>
      <rPr>
        <sz val="10"/>
        <rFont val="Noto Sans CJK SC"/>
        <charset val="134"/>
      </rPr>
      <t xml:space="preserve">明确 </t>
    </r>
    <r>
      <rPr>
        <sz val="10"/>
        <rFont val="Arial"/>
        <charset val="1"/>
      </rPr>
      <t xml:space="preserve">operating_horizon_s </t>
    </r>
    <r>
      <rPr>
        <sz val="10"/>
        <rFont val="Noto Sans CJK SC"/>
        <charset val="134"/>
      </rPr>
      <t>仅约束无人机阶段，物业阶段计入闭环总时间但不受该上限直接限制</t>
    </r>
  </si>
  <si>
    <r>
      <rPr>
        <sz val="10"/>
        <rFont val="Noto Sans CJK SC"/>
        <charset val="134"/>
      </rPr>
      <t>避免问题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对运营时长的理解分歧</t>
    </r>
  </si>
  <si>
    <r>
      <rPr>
        <sz val="10"/>
        <rFont val="Noto Sans CJK SC"/>
        <charset val="134"/>
      </rPr>
      <t>问题</t>
    </r>
    <r>
      <rPr>
        <sz val="10"/>
        <rFont val="Arial"/>
        <charset val="1"/>
      </rPr>
      <t>2</t>
    </r>
    <r>
      <rPr>
        <sz val="10"/>
        <rFont val="Noto Sans CJK SC"/>
        <charset val="134"/>
      </rPr>
      <t>平衡性</t>
    </r>
  </si>
  <si>
    <r>
      <rPr>
        <sz val="10"/>
        <rFont val="Noto Sans CJK SC"/>
        <charset val="134"/>
      </rPr>
      <t xml:space="preserve">进一步提高若干高难度目标点的 </t>
    </r>
    <r>
      <rPr>
        <sz val="10"/>
        <rFont val="Arial"/>
        <charset val="1"/>
      </rPr>
      <t>direct_confirm_time_s</t>
    </r>
    <r>
      <rPr>
        <sz val="10"/>
        <rFont val="Noto Sans CJK SC"/>
        <charset val="134"/>
      </rPr>
      <t xml:space="preserve">，并下调对应人工服务时间；同时将 </t>
    </r>
    <r>
      <rPr>
        <sz val="10"/>
        <rFont val="Arial"/>
        <charset val="1"/>
      </rPr>
      <t xml:space="preserve">operating_horizon_s </t>
    </r>
    <r>
      <rPr>
        <sz val="10"/>
        <rFont val="Noto Sans CJK SC"/>
        <charset val="134"/>
      </rPr>
      <t xml:space="preserve">调整为 </t>
    </r>
    <r>
      <rPr>
        <sz val="10"/>
        <rFont val="Arial"/>
        <charset val="1"/>
      </rPr>
      <t>2600 s</t>
    </r>
  </si>
  <si>
    <r>
      <rPr>
        <sz val="10"/>
        <rFont val="Noto Sans CJK SC"/>
        <charset val="134"/>
      </rPr>
      <t xml:space="preserve">增强 </t>
    </r>
    <r>
      <rPr>
        <sz val="10"/>
        <rFont val="Arial"/>
        <charset val="1"/>
      </rPr>
      <t xml:space="preserve">K=2~4 </t>
    </r>
    <r>
      <rPr>
        <sz val="10"/>
        <rFont val="Noto Sans CJK SC"/>
        <charset val="134"/>
      </rPr>
      <t>下空地分工的比较张力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</si>
</sst>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40">
    <font>
      <sz val="10"/>
      <name val="Arial"/>
      <charset val="1"/>
    </font>
    <font>
      <b/>
      <sz val="14"/>
      <name val="Noto Sans CJK SC"/>
      <charset val="1"/>
    </font>
    <font>
      <b/>
      <sz val="11"/>
      <name val="Noto Sans CJK SC"/>
      <charset val="1"/>
    </font>
    <font>
      <sz val="11"/>
      <color theme="1"/>
      <name val="Noto Sans CJK SC"/>
      <charset val="1"/>
    </font>
    <font>
      <sz val="10"/>
      <name val="Noto Sans CJK SC"/>
      <charset val="134"/>
    </font>
    <font>
      <b/>
      <sz val="13"/>
      <color rgb="FFFFFFFF"/>
      <name val="Noto Sans CJK SC"/>
      <charset val="1"/>
    </font>
    <font>
      <b/>
      <sz val="11"/>
      <color rgb="FFFFFFFF"/>
      <name val="Noto Sans CJK SC"/>
      <charset val="1"/>
    </font>
    <font>
      <sz val="11"/>
      <color rgb="FF000000"/>
      <name val="Cambria"/>
      <charset val="1"/>
    </font>
    <font>
      <sz val="11"/>
      <color rgb="FF666666"/>
      <name val="Noto Sans CJK SC"/>
      <charset val="1"/>
    </font>
    <font>
      <sz val="11"/>
      <color rgb="FF006100"/>
      <name val="Noto Sans CJK SC"/>
      <charset val="1"/>
    </font>
    <font>
      <sz val="11"/>
      <color rgb="FF666666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6100"/>
      <name val="Cambria"/>
      <charset val="1"/>
    </font>
    <font>
      <sz val="11"/>
      <color rgb="FF0000FF"/>
      <name val="Cambria"/>
      <charset val="1"/>
    </font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666666"/>
      <name val="Noto Sans CJK SC"/>
      <charset val="134"/>
    </font>
    <font>
      <sz val="11"/>
      <color rgb="FF006100"/>
      <name val="Noto Sans CJK SC"/>
      <charset val="134"/>
    </font>
    <font>
      <sz val="11"/>
      <color theme="1"/>
      <name val="Noto Sans CJK SC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EAF7"/>
        <bgColor rgb="FFF4F6F6"/>
      </patternFill>
    </fill>
    <fill>
      <patternFill patternType="solid">
        <fgColor rgb="FF17365D"/>
        <bgColor rgb="FF333333"/>
      </patternFill>
    </fill>
    <fill>
      <patternFill patternType="solid">
        <fgColor rgb="FF1F4E78"/>
        <bgColor rgb="FF17365D"/>
      </patternFill>
    </fill>
    <fill>
      <patternFill patternType="solid">
        <fgColor rgb="FFF4F6F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Border="0" applyAlignment="0" applyProtection="0"/>
    <xf numFmtId="44" fontId="16" fillId="0" borderId="0" applyBorder="0" applyAlignment="0" applyProtection="0"/>
    <xf numFmtId="9" fontId="16" fillId="0" borderId="0" applyBorder="0" applyAlignment="0" applyProtection="0"/>
    <xf numFmtId="41" fontId="16" fillId="0" borderId="0" applyBorder="0" applyAlignment="0" applyProtection="0"/>
    <xf numFmtId="42" fontId="1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5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8" borderId="5" applyNumberFormat="0" applyAlignment="0" applyProtection="0">
      <alignment vertical="center"/>
    </xf>
    <xf numFmtId="0" fontId="29" fillId="9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5" fillId="3" borderId="0" xfId="0" applyFont="1" applyFill="1" applyBorder="1" applyAlignment="1"/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/>
    <xf numFmtId="0" fontId="9" fillId="2" borderId="1" xfId="0" applyFont="1" applyFill="1" applyBorder="1" applyAlignment="1"/>
    <xf numFmtId="1" fontId="7" fillId="5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/>
    <xf numFmtId="0" fontId="2" fillId="2" borderId="1" xfId="0" applyFont="1" applyFill="1" applyBorder="1" applyAlignment="1"/>
    <xf numFmtId="176" fontId="7" fillId="5" borderId="1" xfId="0" applyNumberFormat="1" applyFont="1" applyFill="1" applyBorder="1" applyAlignment="1">
      <alignment horizontal="center"/>
    </xf>
    <xf numFmtId="0" fontId="12" fillId="0" borderId="1" xfId="0" applyFont="1" applyBorder="1" applyAlignment="1"/>
    <xf numFmtId="0" fontId="9" fillId="0" borderId="1" xfId="0" applyFont="1" applyBorder="1" applyAlignment="1"/>
    <xf numFmtId="0" fontId="14" fillId="0" borderId="1" xfId="0" applyFont="1" applyBorder="1" applyAlignment="1"/>
    <xf numFmtId="0" fontId="8" fillId="0" borderId="1" xfId="0" applyFont="1" applyBorder="1" applyAlignment="1"/>
    <xf numFmtId="0" fontId="10" fillId="0" borderId="1" xfId="0" applyFont="1" applyBorder="1" applyAlignment="1"/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5" borderId="1" xfId="0" applyFont="1" applyFill="1" applyBorder="1" applyAlignment="1"/>
    <xf numFmtId="0" fontId="3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080"/>
      <rgbColor rgb="00B7C9D6"/>
      <rgbColor rgb="00808080"/>
      <rgbColor rgb="009999FF"/>
      <rgbColor rgb="00993366"/>
      <rgbColor rgb="00F4F6F6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17365D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blUAV" displayName="tblUAV" ref="A3:D17" totalsRowShown="0">
  <autoFilter xmlns:etc="http://www.wps.cn/officeDocument/2017/etCustomData" ref="A3:D17" etc:filterBottomFollowUsedRange="0"/>
  <tableColumns count="4">
    <tableColumn id="1" name="parameter"/>
    <tableColumn id="2" name="value"/>
    <tableColumn id="3" name="unit"/>
    <tableColumn id="4" name="meanin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Nodes" displayName="tblNodes" ref="A3:T20" totalsRowShown="0">
  <autoFilter xmlns:etc="http://www.wps.cn/officeDocument/2017/etCustomData" ref="A3:T20" etc:filterBottomFollowUsedRange="0"/>
  <tableColumns count="20">
    <tableColumn id="1" name="node_id"/>
    <tableColumn id="2" name="node_name"/>
    <tableColumn id="3" name="building_id"/>
    <tableColumn id="4" name="x_m"/>
    <tableColumn id="5" name="y_m"/>
    <tableColumn id="6" name="z_m"/>
    <tableColumn id="7" name="priority_level"/>
    <tableColumn id="8" name="priority_weight"/>
    <tableColumn id="9" name="issue_type"/>
    <tableColumn id="10" name="base_hover_time_s"/>
    <tableColumn id="11" name="direct_confirm_time_s"/>
    <tableColumn id="12" name="extra_confirm_time_s"/>
    <tableColumn id="13" name="manual_point_id"/>
    <tableColumn id="14" name="manual_x_m"/>
    <tableColumn id="15" name="manual_y_m"/>
    <tableColumn id="16" name="manual_service_time_s"/>
    <tableColumn id="17" name="direct_out_back_flight_energy_J"/>
    <tableColumn id="18" name="direct_base_roundtrip_total_energy_J"/>
    <tableColumn id="19" name="direct_confirm_roundtrip_total_energy_J"/>
    <tableColumn id="20" name="remark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tblManualPoints" displayName="tblManualPoints" ref="A3:G20" totalsRowShown="0">
  <autoFilter xmlns:etc="http://www.wps.cn/officeDocument/2017/etCustomData" ref="A3:G20" etc:filterBottomFollowUsedRange="0"/>
  <tableColumns count="7">
    <tableColumn id="1" name="manual_point_id"/>
    <tableColumn id="2" name="mapped_target_id"/>
    <tableColumn id="3" name="x_m"/>
    <tableColumn id="4" name="y_m"/>
    <tableColumn id="5" name="manual_service_time_s"/>
    <tableColumn id="6" name="issue_type"/>
    <tableColumn id="7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8.68181818181818" defaultRowHeight="15" customHeight="1" outlineLevelCol="1"/>
  <cols>
    <col min="1" max="1" width="22" style="1" customWidth="1"/>
    <col min="2" max="2" width="96" style="1" customWidth="1"/>
  </cols>
  <sheetData>
    <row r="1" ht="15.75" customHeight="1" spans="1:2">
      <c r="A1" s="6" t="s">
        <v>0</v>
      </c>
      <c r="B1" s="6"/>
    </row>
    <row r="3" customHeight="1" spans="1:2">
      <c r="A3" s="7" t="s">
        <v>1</v>
      </c>
      <c r="B3" s="7" t="s">
        <v>2</v>
      </c>
    </row>
    <row r="4" ht="32.25" customHeight="1" spans="1:2">
      <c r="A4" s="18" t="s">
        <v>3</v>
      </c>
      <c r="B4" s="32" t="s">
        <v>4</v>
      </c>
    </row>
    <row r="5" ht="16.5" customHeight="1" spans="1:2">
      <c r="A5" s="18" t="s">
        <v>5</v>
      </c>
      <c r="B5" s="33" t="s">
        <v>6</v>
      </c>
    </row>
    <row r="6" ht="32.25" customHeight="1" spans="1:2">
      <c r="A6" s="18" t="s">
        <v>7</v>
      </c>
      <c r="B6" s="32" t="s">
        <v>8</v>
      </c>
    </row>
    <row r="7" ht="16.5" customHeight="1" spans="1:2">
      <c r="A7" s="18" t="s">
        <v>9</v>
      </c>
      <c r="B7" s="33" t="s">
        <v>10</v>
      </c>
    </row>
    <row r="8" ht="32.25" customHeight="1" spans="1:2">
      <c r="A8" s="5" t="s">
        <v>11</v>
      </c>
      <c r="B8" s="5" t="s">
        <v>12</v>
      </c>
    </row>
    <row r="9" ht="16.5" customHeight="1" spans="1:2">
      <c r="A9" s="5" t="s">
        <v>13</v>
      </c>
      <c r="B9" s="1" t="s">
        <v>14</v>
      </c>
    </row>
    <row r="10" ht="16.5" customHeight="1" spans="1:2">
      <c r="A10" s="18" t="s">
        <v>15</v>
      </c>
      <c r="B10" s="32" t="s">
        <v>16</v>
      </c>
    </row>
    <row r="11" ht="32.25" customHeight="1" spans="1:2">
      <c r="A11" s="18" t="s">
        <v>17</v>
      </c>
      <c r="B11" s="32" t="s">
        <v>18</v>
      </c>
    </row>
    <row r="12" ht="32.25" customHeight="1" spans="1:2">
      <c r="A12" s="18" t="s">
        <v>19</v>
      </c>
      <c r="B12" s="32" t="s">
        <v>20</v>
      </c>
    </row>
    <row r="13" ht="32.25" customHeight="1" spans="1:2">
      <c r="A13" s="18" t="s">
        <v>21</v>
      </c>
      <c r="B13" s="32" t="s">
        <v>22</v>
      </c>
    </row>
    <row r="14" ht="32.25" customHeight="1" spans="1:2">
      <c r="A14" s="18" t="s">
        <v>23</v>
      </c>
      <c r="B14" s="32" t="s">
        <v>24</v>
      </c>
    </row>
    <row r="15" ht="28" spans="1:2">
      <c r="A15" s="18" t="s">
        <v>25</v>
      </c>
      <c r="B15" s="32" t="s">
        <v>26</v>
      </c>
    </row>
    <row r="16" ht="28" spans="1:2">
      <c r="A16" s="18" t="s">
        <v>27</v>
      </c>
      <c r="B16" s="32" t="s">
        <v>28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8.68181818181818" defaultRowHeight="15" customHeight="1" outlineLevelCol="3"/>
  <cols>
    <col min="1" max="1" width="24" style="1" customWidth="1"/>
    <col min="2" max="2" width="16" style="1" customWidth="1"/>
    <col min="3" max="3" width="10" style="1" customWidth="1"/>
    <col min="4" max="4" width="44" style="1" customWidth="1"/>
  </cols>
  <sheetData>
    <row r="1" ht="15.75" customHeight="1" spans="1:4">
      <c r="A1" s="6" t="s">
        <v>29</v>
      </c>
      <c r="B1" s="6"/>
      <c r="C1" s="6"/>
      <c r="D1" s="6"/>
    </row>
    <row r="3" customHeight="1" spans="1:4">
      <c r="A3" s="13" t="s">
        <v>30</v>
      </c>
      <c r="B3" s="13" t="s">
        <v>31</v>
      </c>
      <c r="C3" s="13" t="s">
        <v>32</v>
      </c>
      <c r="D3" s="13" t="s">
        <v>33</v>
      </c>
    </row>
    <row r="4" ht="16.5" customHeight="1" spans="1:4">
      <c r="A4" s="20" t="s">
        <v>34</v>
      </c>
      <c r="B4" s="22">
        <v>4</v>
      </c>
      <c r="C4" s="23" t="s">
        <v>35</v>
      </c>
      <c r="D4" s="21" t="s">
        <v>36</v>
      </c>
    </row>
    <row r="5" customHeight="1" spans="1:4">
      <c r="A5" s="20" t="s">
        <v>37</v>
      </c>
      <c r="B5" s="22">
        <v>160000</v>
      </c>
      <c r="C5" s="24" t="s">
        <v>38</v>
      </c>
      <c r="D5" s="21" t="s">
        <v>39</v>
      </c>
    </row>
    <row r="6" customHeight="1" spans="1:4">
      <c r="A6" s="20" t="s">
        <v>40</v>
      </c>
      <c r="B6" s="22">
        <v>25000</v>
      </c>
      <c r="C6" s="24" t="s">
        <v>38</v>
      </c>
      <c r="D6" s="21" t="s">
        <v>41</v>
      </c>
    </row>
    <row r="7" customHeight="1" spans="1:4">
      <c r="A7" s="20" t="s">
        <v>42</v>
      </c>
      <c r="B7" s="31">
        <f>B5-B6</f>
        <v>135000</v>
      </c>
      <c r="C7" s="24" t="s">
        <v>38</v>
      </c>
      <c r="D7" s="21" t="s">
        <v>43</v>
      </c>
    </row>
    <row r="8" customHeight="1" spans="1:4">
      <c r="A8" s="20" t="s">
        <v>44</v>
      </c>
      <c r="B8" s="22">
        <v>12</v>
      </c>
      <c r="C8" s="24" t="s">
        <v>45</v>
      </c>
      <c r="D8" s="21" t="s">
        <v>46</v>
      </c>
    </row>
    <row r="9" customHeight="1" spans="1:4">
      <c r="A9" s="20" t="s">
        <v>47</v>
      </c>
      <c r="B9" s="22">
        <v>4</v>
      </c>
      <c r="C9" s="24" t="s">
        <v>45</v>
      </c>
      <c r="D9" s="21" t="s">
        <v>48</v>
      </c>
    </row>
    <row r="10" customHeight="1" spans="1:4">
      <c r="A10" s="20" t="s">
        <v>49</v>
      </c>
      <c r="B10" s="22">
        <v>16.5</v>
      </c>
      <c r="C10" s="24" t="s">
        <v>50</v>
      </c>
      <c r="D10" s="21" t="s">
        <v>51</v>
      </c>
    </row>
    <row r="11" customHeight="1" spans="1:4">
      <c r="A11" s="20" t="s">
        <v>52</v>
      </c>
      <c r="B11" s="22">
        <v>23</v>
      </c>
      <c r="C11" s="24" t="s">
        <v>50</v>
      </c>
      <c r="D11" s="21" t="s">
        <v>53</v>
      </c>
    </row>
    <row r="12" customHeight="1" spans="1:4">
      <c r="A12" s="20" t="s">
        <v>54</v>
      </c>
      <c r="B12" s="22">
        <v>12</v>
      </c>
      <c r="C12" s="24" t="s">
        <v>50</v>
      </c>
      <c r="D12" s="21" t="s">
        <v>55</v>
      </c>
    </row>
    <row r="13" customHeight="1" spans="1:4">
      <c r="A13" s="20" t="s">
        <v>56</v>
      </c>
      <c r="B13" s="22">
        <v>220</v>
      </c>
      <c r="C13" s="24" t="s">
        <v>57</v>
      </c>
      <c r="D13" s="21" t="s">
        <v>58</v>
      </c>
    </row>
    <row r="14" customHeight="1" spans="1:4">
      <c r="A14" s="20" t="s">
        <v>59</v>
      </c>
      <c r="B14" s="22">
        <v>300</v>
      </c>
      <c r="C14" s="24" t="s">
        <v>60</v>
      </c>
      <c r="D14" s="21" t="s">
        <v>61</v>
      </c>
    </row>
    <row r="15" customHeight="1" spans="1:4">
      <c r="A15" s="20" t="s">
        <v>62</v>
      </c>
      <c r="B15" s="22">
        <v>2600</v>
      </c>
      <c r="C15" s="24" t="s">
        <v>60</v>
      </c>
      <c r="D15" s="21" t="s">
        <v>63</v>
      </c>
    </row>
    <row r="16" customHeight="1" spans="1:4">
      <c r="A16" s="20" t="s">
        <v>64</v>
      </c>
      <c r="B16" s="22">
        <v>1.35</v>
      </c>
      <c r="C16" s="24" t="s">
        <v>45</v>
      </c>
      <c r="D16" s="21" t="s">
        <v>65</v>
      </c>
    </row>
    <row r="17" customHeight="1" spans="1:4">
      <c r="A17" s="20" t="s">
        <v>66</v>
      </c>
      <c r="B17" s="22">
        <v>1.25</v>
      </c>
      <c r="C17" s="24" t="s">
        <v>67</v>
      </c>
      <c r="D17" s="21" t="s">
        <v>68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A1" sqref="A1:T1"/>
    </sheetView>
  </sheetViews>
  <sheetFormatPr defaultColWidth="8.68181818181818" defaultRowHeight="15" customHeight="1"/>
  <cols>
    <col min="1" max="1" width="8" style="1" customWidth="1"/>
    <col min="2" max="2" width="24" style="1" customWidth="1"/>
    <col min="3" max="3" width="10" style="1" customWidth="1"/>
    <col min="4" max="6" width="8" style="1" customWidth="1"/>
    <col min="7" max="8" width="10" style="1" customWidth="1"/>
    <col min="9" max="10" width="14" style="1" customWidth="1"/>
    <col min="11" max="11" width="16" style="1" customWidth="1"/>
    <col min="12" max="13" width="14" style="1" customWidth="1"/>
    <col min="14" max="15" width="8" style="1" customWidth="1"/>
    <col min="16" max="16" width="16" style="1" customWidth="1"/>
    <col min="17" max="17" width="18" style="1" customWidth="1"/>
    <col min="18" max="18" width="20" style="1" customWidth="1"/>
    <col min="19" max="19" width="22" style="1" customWidth="1"/>
    <col min="20" max="20" width="18" style="1" customWidth="1"/>
  </cols>
  <sheetData>
    <row r="1" ht="15.75" customHeight="1" spans="1:20">
      <c r="A1" s="6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3" customHeight="1" spans="1:20">
      <c r="A3" s="13" t="s">
        <v>70</v>
      </c>
      <c r="B3" s="13" t="s">
        <v>71</v>
      </c>
      <c r="C3" s="13" t="s">
        <v>72</v>
      </c>
      <c r="D3" s="13" t="s">
        <v>73</v>
      </c>
      <c r="E3" s="13" t="s">
        <v>74</v>
      </c>
      <c r="F3" s="13" t="s">
        <v>75</v>
      </c>
      <c r="G3" s="13" t="s">
        <v>76</v>
      </c>
      <c r="H3" s="13" t="s">
        <v>77</v>
      </c>
      <c r="I3" s="13" t="s">
        <v>78</v>
      </c>
      <c r="J3" s="13" t="s">
        <v>79</v>
      </c>
      <c r="K3" s="13" t="s">
        <v>80</v>
      </c>
      <c r="L3" s="13" t="s">
        <v>81</v>
      </c>
      <c r="M3" s="13" t="s">
        <v>82</v>
      </c>
      <c r="N3" s="13" t="s">
        <v>83</v>
      </c>
      <c r="O3" s="13" t="s">
        <v>84</v>
      </c>
      <c r="P3" s="13" t="s">
        <v>85</v>
      </c>
      <c r="Q3" s="13" t="s">
        <v>86</v>
      </c>
      <c r="R3" s="13" t="s">
        <v>87</v>
      </c>
      <c r="S3" s="13" t="s">
        <v>88</v>
      </c>
      <c r="T3" s="13" t="s">
        <v>89</v>
      </c>
    </row>
    <row r="4" customHeight="1" spans="1:20">
      <c r="A4" s="25">
        <v>0</v>
      </c>
      <c r="B4" s="26" t="s">
        <v>90</v>
      </c>
      <c r="C4" s="27" t="s">
        <v>91</v>
      </c>
      <c r="D4" s="28">
        <v>0</v>
      </c>
      <c r="E4" s="28">
        <v>0</v>
      </c>
      <c r="F4" s="28">
        <v>0</v>
      </c>
      <c r="G4" s="26" t="s">
        <v>92</v>
      </c>
      <c r="H4" s="28">
        <v>0</v>
      </c>
      <c r="I4" s="26" t="s">
        <v>93</v>
      </c>
      <c r="J4" s="28">
        <v>0</v>
      </c>
      <c r="K4" s="28">
        <v>0</v>
      </c>
      <c r="L4" s="29">
        <v>0</v>
      </c>
      <c r="M4" s="27" t="s">
        <v>94</v>
      </c>
      <c r="N4" s="28">
        <v>0</v>
      </c>
      <c r="O4" s="28">
        <v>0</v>
      </c>
      <c r="P4" s="28">
        <v>0</v>
      </c>
      <c r="Q4" s="29">
        <v>0</v>
      </c>
      <c r="R4" s="29">
        <v>0</v>
      </c>
      <c r="S4" s="29">
        <v>0</v>
      </c>
      <c r="T4" s="30" t="s">
        <v>95</v>
      </c>
    </row>
    <row r="5" ht="16.5" customHeight="1" spans="1:20">
      <c r="A5" s="25">
        <v>1</v>
      </c>
      <c r="B5" s="27" t="s">
        <v>96</v>
      </c>
      <c r="C5" s="27" t="s">
        <v>97</v>
      </c>
      <c r="D5" s="28">
        <v>92</v>
      </c>
      <c r="E5" s="28">
        <v>148</v>
      </c>
      <c r="F5" s="28">
        <v>18</v>
      </c>
      <c r="G5" s="26" t="s">
        <v>98</v>
      </c>
      <c r="H5" s="28">
        <v>2</v>
      </c>
      <c r="I5" s="26" t="s">
        <v>99</v>
      </c>
      <c r="J5" s="28">
        <v>50</v>
      </c>
      <c r="K5" s="28">
        <v>200</v>
      </c>
      <c r="L5" s="29">
        <f t="shared" ref="L5:L20" si="0">K5-J5</f>
        <v>150</v>
      </c>
      <c r="M5" s="27" t="s">
        <v>100</v>
      </c>
      <c r="N5" s="28">
        <v>92</v>
      </c>
      <c r="O5" s="28">
        <v>148</v>
      </c>
      <c r="P5" s="28">
        <v>180</v>
      </c>
      <c r="Q5" s="29">
        <f>FlightEnergy!$D$4+FlightEnergy!$C$5</f>
        <v>6380</v>
      </c>
      <c r="R5" s="29">
        <f>Q5+J5*UAV_Params!$B$13</f>
        <v>17380</v>
      </c>
      <c r="S5" s="29">
        <f>Q5+K5*UAV_Params!$B$13</f>
        <v>50380</v>
      </c>
      <c r="T5" s="30" t="s">
        <v>101</v>
      </c>
    </row>
    <row r="6" ht="16.5" customHeight="1" spans="1:20">
      <c r="A6" s="25">
        <v>2</v>
      </c>
      <c r="B6" s="27" t="s">
        <v>102</v>
      </c>
      <c r="C6" s="27" t="s">
        <v>97</v>
      </c>
      <c r="D6" s="28">
        <v>78</v>
      </c>
      <c r="E6" s="28">
        <v>138</v>
      </c>
      <c r="F6" s="28">
        <v>31</v>
      </c>
      <c r="G6" s="26" t="s">
        <v>103</v>
      </c>
      <c r="H6" s="28">
        <v>3</v>
      </c>
      <c r="I6" s="26" t="s">
        <v>104</v>
      </c>
      <c r="J6" s="28">
        <v>60</v>
      </c>
      <c r="K6" s="28">
        <v>520</v>
      </c>
      <c r="L6" s="29">
        <f t="shared" si="0"/>
        <v>460</v>
      </c>
      <c r="M6" s="27" t="s">
        <v>105</v>
      </c>
      <c r="N6" s="28">
        <v>78</v>
      </c>
      <c r="O6" s="28">
        <v>138</v>
      </c>
      <c r="P6" s="28">
        <v>180</v>
      </c>
      <c r="Q6" s="29">
        <f>FlightEnergy!$E$4+FlightEnergy!$C$6</f>
        <v>6317</v>
      </c>
      <c r="R6" s="29">
        <f>Q6+J6*UAV_Params!$B$13</f>
        <v>19517</v>
      </c>
      <c r="S6" s="29">
        <f>Q6+K6*UAV_Params!$B$13</f>
        <v>120717</v>
      </c>
      <c r="T6" s="30" t="s">
        <v>106</v>
      </c>
    </row>
    <row r="7" ht="16.5" customHeight="1" spans="1:20">
      <c r="A7" s="25">
        <v>3</v>
      </c>
      <c r="B7" s="27" t="s">
        <v>107</v>
      </c>
      <c r="C7" s="27" t="s">
        <v>97</v>
      </c>
      <c r="D7" s="28">
        <v>84</v>
      </c>
      <c r="E7" s="28">
        <v>126</v>
      </c>
      <c r="F7" s="28">
        <v>24</v>
      </c>
      <c r="G7" s="26" t="s">
        <v>108</v>
      </c>
      <c r="H7" s="28">
        <v>1</v>
      </c>
      <c r="I7" s="26" t="s">
        <v>109</v>
      </c>
      <c r="J7" s="28">
        <v>35</v>
      </c>
      <c r="K7" s="28">
        <v>110</v>
      </c>
      <c r="L7" s="29">
        <f t="shared" si="0"/>
        <v>75</v>
      </c>
      <c r="M7" s="27" t="s">
        <v>110</v>
      </c>
      <c r="N7" s="28">
        <v>84</v>
      </c>
      <c r="O7" s="28">
        <v>126</v>
      </c>
      <c r="P7" s="28">
        <v>120</v>
      </c>
      <c r="Q7" s="29">
        <f>FlightEnergy!$F$4+FlightEnergy!$C$7</f>
        <v>5838</v>
      </c>
      <c r="R7" s="29">
        <f>Q7+J7*UAV_Params!$B$13</f>
        <v>13538</v>
      </c>
      <c r="S7" s="29">
        <f>Q7+K7*UAV_Params!$B$13</f>
        <v>30038</v>
      </c>
      <c r="T7" s="30" t="s">
        <v>111</v>
      </c>
    </row>
    <row r="8" ht="16.5" customHeight="1" spans="1:20">
      <c r="A8" s="25">
        <v>4</v>
      </c>
      <c r="B8" s="27" t="s">
        <v>112</v>
      </c>
      <c r="C8" s="27" t="s">
        <v>113</v>
      </c>
      <c r="D8" s="28">
        <v>158</v>
      </c>
      <c r="E8" s="28">
        <v>68</v>
      </c>
      <c r="F8" s="28">
        <v>20</v>
      </c>
      <c r="G8" s="26" t="s">
        <v>98</v>
      </c>
      <c r="H8" s="28">
        <v>2</v>
      </c>
      <c r="I8" s="26" t="s">
        <v>114</v>
      </c>
      <c r="J8" s="28">
        <v>55</v>
      </c>
      <c r="K8" s="28">
        <v>240</v>
      </c>
      <c r="L8" s="29">
        <f t="shared" si="0"/>
        <v>185</v>
      </c>
      <c r="M8" s="27" t="s">
        <v>115</v>
      </c>
      <c r="N8" s="28">
        <v>158</v>
      </c>
      <c r="O8" s="28">
        <v>68</v>
      </c>
      <c r="P8" s="28">
        <v>180</v>
      </c>
      <c r="Q8" s="29">
        <f>FlightEnergy!$G$4+FlightEnergy!$C$8</f>
        <v>6376</v>
      </c>
      <c r="R8" s="29">
        <f>Q8+J8*UAV_Params!$B$13</f>
        <v>18476</v>
      </c>
      <c r="S8" s="29">
        <f>Q8+K8*UAV_Params!$B$13</f>
        <v>59176</v>
      </c>
      <c r="T8" s="30" t="s">
        <v>116</v>
      </c>
    </row>
    <row r="9" ht="16.5" customHeight="1" spans="1:20">
      <c r="A9" s="25">
        <v>5</v>
      </c>
      <c r="B9" s="27" t="s">
        <v>117</v>
      </c>
      <c r="C9" s="27" t="s">
        <v>113</v>
      </c>
      <c r="D9" s="28">
        <v>146</v>
      </c>
      <c r="E9" s="28">
        <v>82</v>
      </c>
      <c r="F9" s="28">
        <v>34</v>
      </c>
      <c r="G9" s="26" t="s">
        <v>103</v>
      </c>
      <c r="H9" s="28">
        <v>3</v>
      </c>
      <c r="I9" s="26" t="s">
        <v>104</v>
      </c>
      <c r="J9" s="28">
        <v>50</v>
      </c>
      <c r="K9" s="28">
        <v>420</v>
      </c>
      <c r="L9" s="29">
        <f t="shared" si="0"/>
        <v>370</v>
      </c>
      <c r="M9" s="27" t="s">
        <v>118</v>
      </c>
      <c r="N9" s="28">
        <v>146</v>
      </c>
      <c r="O9" s="28">
        <v>82</v>
      </c>
      <c r="P9" s="28">
        <v>180</v>
      </c>
      <c r="Q9" s="29">
        <f>FlightEnergy!$H$4+FlightEnergy!$C$9</f>
        <v>6716</v>
      </c>
      <c r="R9" s="29">
        <f>Q9+J9*UAV_Params!$B$13</f>
        <v>17716</v>
      </c>
      <c r="S9" s="29">
        <f>Q9+K9*UAV_Params!$B$13</f>
        <v>99116</v>
      </c>
      <c r="T9" s="30" t="s">
        <v>119</v>
      </c>
    </row>
    <row r="10" ht="16.5" customHeight="1" spans="1:20">
      <c r="A10" s="25">
        <v>6</v>
      </c>
      <c r="B10" s="27" t="s">
        <v>120</v>
      </c>
      <c r="C10" s="27" t="s">
        <v>113</v>
      </c>
      <c r="D10" s="28">
        <v>172</v>
      </c>
      <c r="E10" s="28">
        <v>54</v>
      </c>
      <c r="F10" s="28">
        <v>16</v>
      </c>
      <c r="G10" s="26" t="s">
        <v>98</v>
      </c>
      <c r="H10" s="28">
        <v>2</v>
      </c>
      <c r="I10" s="26" t="s">
        <v>121</v>
      </c>
      <c r="J10" s="28">
        <v>40</v>
      </c>
      <c r="K10" s="28">
        <v>180</v>
      </c>
      <c r="L10" s="29">
        <f t="shared" si="0"/>
        <v>140</v>
      </c>
      <c r="M10" s="27" t="s">
        <v>122</v>
      </c>
      <c r="N10" s="28">
        <v>172</v>
      </c>
      <c r="O10" s="28">
        <v>54</v>
      </c>
      <c r="P10" s="28">
        <v>150</v>
      </c>
      <c r="Q10" s="29">
        <f>FlightEnergy!$I$4+FlightEnergy!$C$10</f>
        <v>6510</v>
      </c>
      <c r="R10" s="29">
        <f>Q10+J10*UAV_Params!$B$13</f>
        <v>15310</v>
      </c>
      <c r="S10" s="29">
        <f>Q10+K10*UAV_Params!$B$13</f>
        <v>46110</v>
      </c>
      <c r="T10" s="30" t="s">
        <v>123</v>
      </c>
    </row>
    <row r="11" ht="16.5" customHeight="1" spans="1:20">
      <c r="A11" s="25">
        <v>7</v>
      </c>
      <c r="B11" s="27" t="s">
        <v>124</v>
      </c>
      <c r="C11" s="27" t="s">
        <v>125</v>
      </c>
      <c r="D11" s="28">
        <v>206</v>
      </c>
      <c r="E11" s="28">
        <v>-36</v>
      </c>
      <c r="F11" s="28">
        <v>22</v>
      </c>
      <c r="G11" s="26" t="s">
        <v>98</v>
      </c>
      <c r="H11" s="28">
        <v>2</v>
      </c>
      <c r="I11" s="26" t="s">
        <v>126</v>
      </c>
      <c r="J11" s="28">
        <v>45</v>
      </c>
      <c r="K11" s="28">
        <v>200</v>
      </c>
      <c r="L11" s="29">
        <f t="shared" si="0"/>
        <v>155</v>
      </c>
      <c r="M11" s="27" t="s">
        <v>127</v>
      </c>
      <c r="N11" s="28">
        <v>206</v>
      </c>
      <c r="O11" s="28">
        <v>-36</v>
      </c>
      <c r="P11" s="28">
        <v>150</v>
      </c>
      <c r="Q11" s="29">
        <f>FlightEnergy!$J$4+FlightEnergy!$C$11</f>
        <v>7672</v>
      </c>
      <c r="R11" s="29">
        <f>Q11+J11*UAV_Params!$B$13</f>
        <v>17572</v>
      </c>
      <c r="S11" s="29">
        <f>Q11+K11*UAV_Params!$B$13</f>
        <v>51672</v>
      </c>
      <c r="T11" s="30" t="s">
        <v>128</v>
      </c>
    </row>
    <row r="12" ht="16.5" customHeight="1" spans="1:20">
      <c r="A12" s="25">
        <v>8</v>
      </c>
      <c r="B12" s="27" t="s">
        <v>129</v>
      </c>
      <c r="C12" s="27" t="s">
        <v>125</v>
      </c>
      <c r="D12" s="28">
        <v>194</v>
      </c>
      <c r="E12" s="28">
        <v>-22</v>
      </c>
      <c r="F12" s="28">
        <v>36</v>
      </c>
      <c r="G12" s="26" t="s">
        <v>103</v>
      </c>
      <c r="H12" s="28">
        <v>3</v>
      </c>
      <c r="I12" s="26" t="s">
        <v>130</v>
      </c>
      <c r="J12" s="28">
        <v>60</v>
      </c>
      <c r="K12" s="28">
        <v>560</v>
      </c>
      <c r="L12" s="29">
        <f t="shared" si="0"/>
        <v>500</v>
      </c>
      <c r="M12" s="27" t="s">
        <v>131</v>
      </c>
      <c r="N12" s="28">
        <v>194</v>
      </c>
      <c r="O12" s="28">
        <v>-22</v>
      </c>
      <c r="P12" s="28">
        <v>180</v>
      </c>
      <c r="Q12" s="29">
        <f>FlightEnergy!$K$4+FlightEnergy!$C$12</f>
        <v>7704</v>
      </c>
      <c r="R12" s="29">
        <f>Q12+J12*UAV_Params!$B$13</f>
        <v>20904</v>
      </c>
      <c r="S12" s="29">
        <f>Q12+K12*UAV_Params!$B$13</f>
        <v>130904</v>
      </c>
      <c r="T12" s="30" t="s">
        <v>132</v>
      </c>
    </row>
    <row r="13" ht="16.5" customHeight="1" spans="1:20">
      <c r="A13" s="25">
        <v>9</v>
      </c>
      <c r="B13" s="27" t="s">
        <v>133</v>
      </c>
      <c r="C13" s="27" t="s">
        <v>134</v>
      </c>
      <c r="D13" s="28">
        <v>46</v>
      </c>
      <c r="E13" s="28">
        <v>-128</v>
      </c>
      <c r="F13" s="28">
        <v>17</v>
      </c>
      <c r="G13" s="26" t="s">
        <v>103</v>
      </c>
      <c r="H13" s="28">
        <v>3</v>
      </c>
      <c r="I13" s="26" t="s">
        <v>121</v>
      </c>
      <c r="J13" s="28">
        <v>55</v>
      </c>
      <c r="K13" s="28">
        <v>520</v>
      </c>
      <c r="L13" s="29">
        <f t="shared" si="0"/>
        <v>465</v>
      </c>
      <c r="M13" s="27" t="s">
        <v>135</v>
      </c>
      <c r="N13" s="28">
        <v>46</v>
      </c>
      <c r="O13" s="28">
        <v>-128</v>
      </c>
      <c r="P13" s="28">
        <v>180</v>
      </c>
      <c r="Q13" s="29">
        <f>FlightEnergy!$L$4+FlightEnergy!$C$13</f>
        <v>5083</v>
      </c>
      <c r="R13" s="29">
        <f>Q13+J13*UAV_Params!$B$13</f>
        <v>17183</v>
      </c>
      <c r="S13" s="29">
        <f>Q13+K13*UAV_Params!$B$13</f>
        <v>119483</v>
      </c>
      <c r="T13" s="30" t="s">
        <v>136</v>
      </c>
    </row>
    <row r="14" ht="16.5" customHeight="1" spans="1:20">
      <c r="A14" s="25">
        <v>10</v>
      </c>
      <c r="B14" s="27" t="s">
        <v>137</v>
      </c>
      <c r="C14" s="27" t="s">
        <v>134</v>
      </c>
      <c r="D14" s="28">
        <v>56</v>
      </c>
      <c r="E14" s="28">
        <v>-116</v>
      </c>
      <c r="F14" s="28">
        <v>30</v>
      </c>
      <c r="G14" s="26" t="s">
        <v>98</v>
      </c>
      <c r="H14" s="28">
        <v>2</v>
      </c>
      <c r="I14" s="26" t="s">
        <v>104</v>
      </c>
      <c r="J14" s="28">
        <v>45</v>
      </c>
      <c r="K14" s="28">
        <v>190</v>
      </c>
      <c r="L14" s="29">
        <f t="shared" si="0"/>
        <v>145</v>
      </c>
      <c r="M14" s="27" t="s">
        <v>138</v>
      </c>
      <c r="N14" s="28">
        <v>56</v>
      </c>
      <c r="O14" s="28">
        <v>-116</v>
      </c>
      <c r="P14" s="28">
        <v>180</v>
      </c>
      <c r="Q14" s="29">
        <f>FlightEnergy!$M$4+FlightEnergy!$C$14</f>
        <v>5300</v>
      </c>
      <c r="R14" s="29">
        <f>Q14+J14*UAV_Params!$B$13</f>
        <v>15200</v>
      </c>
      <c r="S14" s="29">
        <f>Q14+K14*UAV_Params!$B$13</f>
        <v>47100</v>
      </c>
      <c r="T14" s="30" t="s">
        <v>139</v>
      </c>
    </row>
    <row r="15" ht="16.5" customHeight="1" spans="1:20">
      <c r="A15" s="25">
        <v>11</v>
      </c>
      <c r="B15" s="27" t="s">
        <v>140</v>
      </c>
      <c r="C15" s="27" t="s">
        <v>141</v>
      </c>
      <c r="D15" s="28">
        <v>-84</v>
      </c>
      <c r="E15" s="28">
        <v>-154</v>
      </c>
      <c r="F15" s="28">
        <v>25</v>
      </c>
      <c r="G15" s="26" t="s">
        <v>108</v>
      </c>
      <c r="H15" s="28">
        <v>1</v>
      </c>
      <c r="I15" s="26" t="s">
        <v>142</v>
      </c>
      <c r="J15" s="28">
        <v>35</v>
      </c>
      <c r="K15" s="28">
        <v>110</v>
      </c>
      <c r="L15" s="29">
        <f t="shared" si="0"/>
        <v>75</v>
      </c>
      <c r="M15" s="27" t="s">
        <v>143</v>
      </c>
      <c r="N15" s="28">
        <v>-84</v>
      </c>
      <c r="O15" s="28">
        <v>-154</v>
      </c>
      <c r="P15" s="28">
        <v>120</v>
      </c>
      <c r="Q15" s="29">
        <f>FlightEnergy!$N$4+FlightEnergy!$C$15</f>
        <v>6663</v>
      </c>
      <c r="R15" s="29">
        <f>Q15+J15*UAV_Params!$B$13</f>
        <v>14363</v>
      </c>
      <c r="S15" s="29">
        <f>Q15+K15*UAV_Params!$B$13</f>
        <v>30863</v>
      </c>
      <c r="T15" s="30" t="s">
        <v>111</v>
      </c>
    </row>
    <row r="16" ht="16.5" customHeight="1" spans="1:20">
      <c r="A16" s="25">
        <v>12</v>
      </c>
      <c r="B16" s="27" t="s">
        <v>144</v>
      </c>
      <c r="C16" s="27" t="s">
        <v>141</v>
      </c>
      <c r="D16" s="28">
        <v>-72</v>
      </c>
      <c r="E16" s="28">
        <v>-144</v>
      </c>
      <c r="F16" s="28">
        <v>12</v>
      </c>
      <c r="G16" s="26" t="s">
        <v>98</v>
      </c>
      <c r="H16" s="28">
        <v>2</v>
      </c>
      <c r="I16" s="26" t="s">
        <v>145</v>
      </c>
      <c r="J16" s="28">
        <v>40</v>
      </c>
      <c r="K16" s="28">
        <v>170</v>
      </c>
      <c r="L16" s="29">
        <f t="shared" si="0"/>
        <v>130</v>
      </c>
      <c r="M16" s="27" t="s">
        <v>146</v>
      </c>
      <c r="N16" s="28">
        <v>-72</v>
      </c>
      <c r="O16" s="28">
        <v>-144</v>
      </c>
      <c r="P16" s="28">
        <v>150</v>
      </c>
      <c r="Q16" s="29">
        <f>FlightEnergy!$O$4+FlightEnergy!$C$16</f>
        <v>5732</v>
      </c>
      <c r="R16" s="29">
        <f>Q16+J16*UAV_Params!$B$13</f>
        <v>14532</v>
      </c>
      <c r="S16" s="29">
        <f>Q16+K16*UAV_Params!$B$13</f>
        <v>43132</v>
      </c>
      <c r="T16" s="30" t="s">
        <v>147</v>
      </c>
    </row>
    <row r="17" ht="16.5" customHeight="1" spans="1:20">
      <c r="A17" s="25">
        <v>13</v>
      </c>
      <c r="B17" s="27" t="s">
        <v>148</v>
      </c>
      <c r="C17" s="27" t="s">
        <v>149</v>
      </c>
      <c r="D17" s="28">
        <v>-148</v>
      </c>
      <c r="E17" s="28">
        <v>46</v>
      </c>
      <c r="F17" s="28">
        <v>24</v>
      </c>
      <c r="G17" s="26" t="s">
        <v>103</v>
      </c>
      <c r="H17" s="28">
        <v>3</v>
      </c>
      <c r="I17" s="26" t="s">
        <v>130</v>
      </c>
      <c r="J17" s="28">
        <v>60</v>
      </c>
      <c r="K17" s="28">
        <v>540</v>
      </c>
      <c r="L17" s="29">
        <f t="shared" si="0"/>
        <v>480</v>
      </c>
      <c r="M17" s="27" t="s">
        <v>150</v>
      </c>
      <c r="N17" s="28">
        <v>-148</v>
      </c>
      <c r="O17" s="28">
        <v>46</v>
      </c>
      <c r="P17" s="28">
        <v>180</v>
      </c>
      <c r="Q17" s="29">
        <f>FlightEnergy!$P$4+FlightEnergy!$C$17</f>
        <v>5954</v>
      </c>
      <c r="R17" s="29">
        <f>Q17+J17*UAV_Params!$B$13</f>
        <v>19154</v>
      </c>
      <c r="S17" s="29">
        <f>Q17+K17*UAV_Params!$B$13</f>
        <v>124754</v>
      </c>
      <c r="T17" s="30" t="s">
        <v>151</v>
      </c>
    </row>
    <row r="18" ht="16.5" customHeight="1" spans="1:20">
      <c r="A18" s="25">
        <v>14</v>
      </c>
      <c r="B18" s="27" t="s">
        <v>152</v>
      </c>
      <c r="C18" s="27" t="s">
        <v>149</v>
      </c>
      <c r="D18" s="28">
        <v>-162</v>
      </c>
      <c r="E18" s="28">
        <v>58</v>
      </c>
      <c r="F18" s="28">
        <v>18</v>
      </c>
      <c r="G18" s="26" t="s">
        <v>98</v>
      </c>
      <c r="H18" s="28">
        <v>2</v>
      </c>
      <c r="I18" s="26" t="s">
        <v>153</v>
      </c>
      <c r="J18" s="28">
        <v>50</v>
      </c>
      <c r="K18" s="28">
        <v>330</v>
      </c>
      <c r="L18" s="29">
        <f t="shared" si="0"/>
        <v>280</v>
      </c>
      <c r="M18" s="27" t="s">
        <v>154</v>
      </c>
      <c r="N18" s="28">
        <v>-162</v>
      </c>
      <c r="O18" s="28">
        <v>58</v>
      </c>
      <c r="P18" s="28">
        <v>180</v>
      </c>
      <c r="Q18" s="29">
        <f>FlightEnergy!$Q$4+FlightEnergy!$C$18</f>
        <v>6308</v>
      </c>
      <c r="R18" s="29">
        <f>Q18+J18*UAV_Params!$B$13</f>
        <v>17308</v>
      </c>
      <c r="S18" s="29">
        <f>Q18+K18*UAV_Params!$B$13</f>
        <v>78908</v>
      </c>
      <c r="T18" s="30" t="s">
        <v>155</v>
      </c>
    </row>
    <row r="19" ht="16.5" customHeight="1" spans="1:20">
      <c r="A19" s="25">
        <v>15</v>
      </c>
      <c r="B19" s="27" t="s">
        <v>156</v>
      </c>
      <c r="C19" s="27" t="s">
        <v>157</v>
      </c>
      <c r="D19" s="28">
        <v>-204</v>
      </c>
      <c r="E19" s="28">
        <v>162</v>
      </c>
      <c r="F19" s="28">
        <v>22</v>
      </c>
      <c r="G19" s="26" t="s">
        <v>98</v>
      </c>
      <c r="H19" s="28">
        <v>2</v>
      </c>
      <c r="I19" s="26" t="s">
        <v>126</v>
      </c>
      <c r="J19" s="28">
        <v>45</v>
      </c>
      <c r="K19" s="28">
        <v>360</v>
      </c>
      <c r="L19" s="29">
        <f t="shared" si="0"/>
        <v>315</v>
      </c>
      <c r="M19" s="27" t="s">
        <v>158</v>
      </c>
      <c r="N19" s="28">
        <v>-204</v>
      </c>
      <c r="O19" s="28">
        <v>162</v>
      </c>
      <c r="P19" s="28">
        <v>180</v>
      </c>
      <c r="Q19" s="29">
        <f>FlightEnergy!$R$4+FlightEnergy!$C$19</f>
        <v>9366</v>
      </c>
      <c r="R19" s="29">
        <f>Q19+J19*UAV_Params!$B$13</f>
        <v>19266</v>
      </c>
      <c r="S19" s="29">
        <f>Q19+K19*UAV_Params!$B$13</f>
        <v>88566</v>
      </c>
      <c r="T19" s="30" t="s">
        <v>159</v>
      </c>
    </row>
    <row r="20" ht="16.5" customHeight="1" spans="1:20">
      <c r="A20" s="25">
        <v>16</v>
      </c>
      <c r="B20" s="27" t="s">
        <v>160</v>
      </c>
      <c r="C20" s="27" t="s">
        <v>157</v>
      </c>
      <c r="D20" s="28">
        <v>-192</v>
      </c>
      <c r="E20" s="28">
        <v>176</v>
      </c>
      <c r="F20" s="28">
        <v>34</v>
      </c>
      <c r="G20" s="26" t="s">
        <v>103</v>
      </c>
      <c r="H20" s="28">
        <v>3</v>
      </c>
      <c r="I20" s="26" t="s">
        <v>161</v>
      </c>
      <c r="J20" s="28">
        <v>65</v>
      </c>
      <c r="K20" s="28">
        <v>560</v>
      </c>
      <c r="L20" s="29">
        <f t="shared" si="0"/>
        <v>495</v>
      </c>
      <c r="M20" s="27" t="s">
        <v>162</v>
      </c>
      <c r="N20" s="28">
        <v>-192</v>
      </c>
      <c r="O20" s="28">
        <v>176</v>
      </c>
      <c r="P20" s="28">
        <v>180</v>
      </c>
      <c r="Q20" s="29">
        <f>FlightEnergy!$S$4+FlightEnergy!$C$20</f>
        <v>9786</v>
      </c>
      <c r="R20" s="29">
        <f>Q20+J20*UAV_Params!$B$13</f>
        <v>24086</v>
      </c>
      <c r="S20" s="29">
        <f>Q20+K20*UAV_Params!$B$13</f>
        <v>132986</v>
      </c>
      <c r="T20" s="30" t="s">
        <v>163</v>
      </c>
    </row>
  </sheetData>
  <mergeCells count="1">
    <mergeCell ref="A1:T1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:G1"/>
    </sheetView>
  </sheetViews>
  <sheetFormatPr defaultColWidth="8.68181818181818" defaultRowHeight="15" customHeight="1" outlineLevelCol="6"/>
  <cols>
    <col min="1" max="1" width="16" style="1" customWidth="1"/>
    <col min="2" max="2" width="15" style="1" customWidth="1"/>
    <col min="3" max="4" width="8" style="1" customWidth="1"/>
    <col min="5" max="5" width="18" style="1" customWidth="1"/>
    <col min="6" max="6" width="14" style="1" customWidth="1"/>
    <col min="7" max="7" width="24" style="1" customWidth="1"/>
  </cols>
  <sheetData>
    <row r="1" ht="15.75" customHeight="1" spans="1:7">
      <c r="A1" s="6" t="s">
        <v>164</v>
      </c>
      <c r="B1" s="6"/>
      <c r="C1" s="6"/>
      <c r="D1" s="6"/>
      <c r="E1" s="6"/>
      <c r="F1" s="6"/>
      <c r="G1" s="6"/>
    </row>
    <row r="3" customHeight="1" spans="1:7">
      <c r="A3" s="13" t="s">
        <v>82</v>
      </c>
      <c r="B3" s="13" t="s">
        <v>165</v>
      </c>
      <c r="C3" s="13" t="s">
        <v>73</v>
      </c>
      <c r="D3" s="13" t="s">
        <v>74</v>
      </c>
      <c r="E3" s="13" t="s">
        <v>85</v>
      </c>
      <c r="F3" s="13" t="s">
        <v>78</v>
      </c>
      <c r="G3" s="13" t="s">
        <v>166</v>
      </c>
    </row>
    <row r="4" customHeight="1" spans="1:7">
      <c r="A4" s="20" t="s">
        <v>94</v>
      </c>
      <c r="B4" s="21">
        <v>0</v>
      </c>
      <c r="C4" s="22">
        <v>0</v>
      </c>
      <c r="D4" s="22">
        <v>0</v>
      </c>
      <c r="E4" s="22">
        <v>0</v>
      </c>
      <c r="F4" s="21" t="s">
        <v>167</v>
      </c>
      <c r="G4" s="23" t="s">
        <v>168</v>
      </c>
    </row>
    <row r="5" ht="16.5" customHeight="1" spans="1:7">
      <c r="A5" s="20" t="s">
        <v>100</v>
      </c>
      <c r="B5" s="21">
        <v>1</v>
      </c>
      <c r="C5" s="22">
        <v>92</v>
      </c>
      <c r="D5" s="22">
        <v>148</v>
      </c>
      <c r="E5" s="22">
        <v>180</v>
      </c>
      <c r="F5" s="21" t="s">
        <v>99</v>
      </c>
      <c r="G5" s="24" t="s">
        <v>169</v>
      </c>
    </row>
    <row r="6" ht="16.5" customHeight="1" spans="1:7">
      <c r="A6" s="20" t="s">
        <v>105</v>
      </c>
      <c r="B6" s="21">
        <v>2</v>
      </c>
      <c r="C6" s="22">
        <v>78</v>
      </c>
      <c r="D6" s="22">
        <v>138</v>
      </c>
      <c r="E6" s="22">
        <v>210</v>
      </c>
      <c r="F6" s="21" t="s">
        <v>104</v>
      </c>
      <c r="G6" s="24" t="s">
        <v>170</v>
      </c>
    </row>
    <row r="7" ht="16.5" customHeight="1" spans="1:7">
      <c r="A7" s="20" t="s">
        <v>110</v>
      </c>
      <c r="B7" s="21">
        <v>3</v>
      </c>
      <c r="C7" s="22">
        <v>84</v>
      </c>
      <c r="D7" s="22">
        <v>126</v>
      </c>
      <c r="E7" s="22">
        <v>120</v>
      </c>
      <c r="F7" s="21" t="s">
        <v>109</v>
      </c>
      <c r="G7" s="24" t="s">
        <v>171</v>
      </c>
    </row>
    <row r="8" ht="16.5" customHeight="1" spans="1:7">
      <c r="A8" s="20" t="s">
        <v>115</v>
      </c>
      <c r="B8" s="21">
        <v>4</v>
      </c>
      <c r="C8" s="22">
        <v>158</v>
      </c>
      <c r="D8" s="22">
        <v>68</v>
      </c>
      <c r="E8" s="22">
        <v>180</v>
      </c>
      <c r="F8" s="21" t="s">
        <v>114</v>
      </c>
      <c r="G8" s="24" t="s">
        <v>172</v>
      </c>
    </row>
    <row r="9" ht="16.5" customHeight="1" spans="1:7">
      <c r="A9" s="20" t="s">
        <v>118</v>
      </c>
      <c r="B9" s="21">
        <v>5</v>
      </c>
      <c r="C9" s="22">
        <v>146</v>
      </c>
      <c r="D9" s="22">
        <v>82</v>
      </c>
      <c r="E9" s="22">
        <v>180</v>
      </c>
      <c r="F9" s="21" t="s">
        <v>104</v>
      </c>
      <c r="G9" s="24" t="s">
        <v>173</v>
      </c>
    </row>
    <row r="10" ht="16.5" customHeight="1" spans="1:7">
      <c r="A10" s="20" t="s">
        <v>122</v>
      </c>
      <c r="B10" s="21">
        <v>6</v>
      </c>
      <c r="C10" s="22">
        <v>172</v>
      </c>
      <c r="D10" s="22">
        <v>54</v>
      </c>
      <c r="E10" s="22">
        <v>150</v>
      </c>
      <c r="F10" s="21" t="s">
        <v>121</v>
      </c>
      <c r="G10" s="24" t="s">
        <v>174</v>
      </c>
    </row>
    <row r="11" ht="16.5" customHeight="1" spans="1:7">
      <c r="A11" s="20" t="s">
        <v>127</v>
      </c>
      <c r="B11" s="21">
        <v>7</v>
      </c>
      <c r="C11" s="22">
        <v>206</v>
      </c>
      <c r="D11" s="22">
        <v>-36</v>
      </c>
      <c r="E11" s="22">
        <v>150</v>
      </c>
      <c r="F11" s="21" t="s">
        <v>126</v>
      </c>
      <c r="G11" s="24" t="s">
        <v>175</v>
      </c>
    </row>
    <row r="12" ht="16.5" customHeight="1" spans="1:7">
      <c r="A12" s="20" t="s">
        <v>131</v>
      </c>
      <c r="B12" s="21">
        <v>8</v>
      </c>
      <c r="C12" s="22">
        <v>194</v>
      </c>
      <c r="D12" s="22">
        <v>-22</v>
      </c>
      <c r="E12" s="22">
        <v>240</v>
      </c>
      <c r="F12" s="21" t="s">
        <v>130</v>
      </c>
      <c r="G12" s="24" t="s">
        <v>176</v>
      </c>
    </row>
    <row r="13" ht="16.5" customHeight="1" spans="1:7">
      <c r="A13" s="20" t="s">
        <v>135</v>
      </c>
      <c r="B13" s="21">
        <v>9</v>
      </c>
      <c r="C13" s="22">
        <v>46</v>
      </c>
      <c r="D13" s="22">
        <v>-128</v>
      </c>
      <c r="E13" s="22">
        <v>240</v>
      </c>
      <c r="F13" s="21" t="s">
        <v>121</v>
      </c>
      <c r="G13" s="24" t="s">
        <v>177</v>
      </c>
    </row>
    <row r="14" ht="16.5" customHeight="1" spans="1:7">
      <c r="A14" s="20" t="s">
        <v>138</v>
      </c>
      <c r="B14" s="21">
        <v>10</v>
      </c>
      <c r="C14" s="22">
        <v>56</v>
      </c>
      <c r="D14" s="22">
        <v>-116</v>
      </c>
      <c r="E14" s="22">
        <v>180</v>
      </c>
      <c r="F14" s="21" t="s">
        <v>104</v>
      </c>
      <c r="G14" s="24" t="s">
        <v>178</v>
      </c>
    </row>
    <row r="15" ht="16.5" customHeight="1" spans="1:7">
      <c r="A15" s="20" t="s">
        <v>143</v>
      </c>
      <c r="B15" s="21">
        <v>11</v>
      </c>
      <c r="C15" s="22">
        <v>-84</v>
      </c>
      <c r="D15" s="22">
        <v>-154</v>
      </c>
      <c r="E15" s="22">
        <v>120</v>
      </c>
      <c r="F15" s="21" t="s">
        <v>142</v>
      </c>
      <c r="G15" s="24" t="s">
        <v>179</v>
      </c>
    </row>
    <row r="16" ht="16.5" customHeight="1" spans="1:7">
      <c r="A16" s="20" t="s">
        <v>146</v>
      </c>
      <c r="B16" s="21">
        <v>12</v>
      </c>
      <c r="C16" s="22">
        <v>-72</v>
      </c>
      <c r="D16" s="22">
        <v>-144</v>
      </c>
      <c r="E16" s="22">
        <v>150</v>
      </c>
      <c r="F16" s="21" t="s">
        <v>145</v>
      </c>
      <c r="G16" s="24" t="s">
        <v>180</v>
      </c>
    </row>
    <row r="17" ht="16.5" customHeight="1" spans="1:7">
      <c r="A17" s="20" t="s">
        <v>150</v>
      </c>
      <c r="B17" s="21">
        <v>13</v>
      </c>
      <c r="C17" s="22">
        <v>-148</v>
      </c>
      <c r="D17" s="22">
        <v>46</v>
      </c>
      <c r="E17" s="22">
        <v>240</v>
      </c>
      <c r="F17" s="21" t="s">
        <v>130</v>
      </c>
      <c r="G17" s="24" t="s">
        <v>181</v>
      </c>
    </row>
    <row r="18" ht="16.5" customHeight="1" spans="1:7">
      <c r="A18" s="20" t="s">
        <v>154</v>
      </c>
      <c r="B18" s="21">
        <v>14</v>
      </c>
      <c r="C18" s="22">
        <v>-162</v>
      </c>
      <c r="D18" s="22">
        <v>58</v>
      </c>
      <c r="E18" s="22">
        <v>180</v>
      </c>
      <c r="F18" s="21" t="s">
        <v>153</v>
      </c>
      <c r="G18" s="24" t="s">
        <v>182</v>
      </c>
    </row>
    <row r="19" ht="16.5" customHeight="1" spans="1:7">
      <c r="A19" s="20" t="s">
        <v>158</v>
      </c>
      <c r="B19" s="21">
        <v>15</v>
      </c>
      <c r="C19" s="22">
        <v>-204</v>
      </c>
      <c r="D19" s="22">
        <v>162</v>
      </c>
      <c r="E19" s="22">
        <v>180</v>
      </c>
      <c r="F19" s="21" t="s">
        <v>126</v>
      </c>
      <c r="G19" s="24" t="s">
        <v>183</v>
      </c>
    </row>
    <row r="20" ht="16.5" customHeight="1" spans="1:7">
      <c r="A20" s="20" t="s">
        <v>162</v>
      </c>
      <c r="B20" s="21">
        <v>16</v>
      </c>
      <c r="C20" s="22">
        <v>-192</v>
      </c>
      <c r="D20" s="22">
        <v>176</v>
      </c>
      <c r="E20" s="22">
        <v>240</v>
      </c>
      <c r="F20" s="21" t="s">
        <v>161</v>
      </c>
      <c r="G20" s="24" t="s">
        <v>184</v>
      </c>
    </row>
  </sheetData>
  <mergeCells count="1">
    <mergeCell ref="A1:G1"/>
  </mergeCell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A1" sqref="A1:S1"/>
    </sheetView>
  </sheetViews>
  <sheetFormatPr defaultColWidth="8.68181818181818" defaultRowHeight="15" customHeight="1"/>
  <cols>
    <col min="1" max="1" width="12" style="1" customWidth="1"/>
    <col min="2" max="2" width="24" style="1" customWidth="1"/>
    <col min="3" max="19" width="8" style="1" customWidth="1"/>
  </cols>
  <sheetData>
    <row r="1" ht="15.75" customHeight="1" spans="1:19">
      <c r="A1" s="6" t="s">
        <v>185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customHeight="1" spans="1:19">
      <c r="A3" s="13" t="s">
        <v>186</v>
      </c>
      <c r="B3" s="13" t="s">
        <v>187</v>
      </c>
      <c r="C3" s="7">
        <v>0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7">
        <v>11</v>
      </c>
      <c r="O3" s="7">
        <v>12</v>
      </c>
      <c r="P3" s="7">
        <v>13</v>
      </c>
      <c r="Q3" s="7">
        <v>14</v>
      </c>
      <c r="R3" s="7">
        <v>15</v>
      </c>
      <c r="S3" s="7">
        <v>16</v>
      </c>
    </row>
    <row r="4" customHeight="1" spans="1:19">
      <c r="A4" s="18">
        <v>0</v>
      </c>
      <c r="B4" s="15" t="s">
        <v>90</v>
      </c>
      <c r="C4" s="19">
        <f>IF($A4=C$3,0,ROUND(SQRT((NodeData!$D4-NodeData!$D4)^2+(NodeData!$E4-NodeData!$E4)^2)/UAV_Params!$B$8+ABS(NodeData!$F4-NodeData!$F4)/UAV_Params!$B$9,1))</f>
        <v>0</v>
      </c>
      <c r="D4" s="19">
        <f>IF($A4=D$3,0,ROUND(SQRT((NodeData!$D4-NodeData!$D5)^2+(NodeData!$E4-NodeData!$E5)^2)/UAV_Params!$B$8+ABS(NodeData!$F4-NodeData!$F5)/UAV_Params!$B$9,1))</f>
        <v>19</v>
      </c>
      <c r="E4" s="19">
        <f>IF($A4=E$3,0,ROUND(SQRT((NodeData!$D4-NodeData!$D6)^2+(NodeData!$E4-NodeData!$E6)^2)/UAV_Params!$B$8+ABS(NodeData!$F4-NodeData!$F6)/UAV_Params!$B$9,1))</f>
        <v>21</v>
      </c>
      <c r="F4" s="19">
        <f>IF($A4=F$3,0,ROUND(SQRT((NodeData!$D4-NodeData!$D7)^2+(NodeData!$E4-NodeData!$E7)^2)/UAV_Params!$B$8+ABS(NodeData!$F4-NodeData!$F7)/UAV_Params!$B$9,1))</f>
        <v>18.6</v>
      </c>
      <c r="G4" s="19">
        <f>IF($A4=G$3,0,ROUND(SQRT((NodeData!$D4-NodeData!$D8)^2+(NodeData!$E4-NodeData!$E8)^2)/UAV_Params!$B$8+ABS(NodeData!$F4-NodeData!$F8)/UAV_Params!$B$9,1))</f>
        <v>19.3</v>
      </c>
      <c r="H4" s="19">
        <f>IF($A4=H$3,0,ROUND(SQRT((NodeData!$D4-NodeData!$D9)^2+(NodeData!$E4-NodeData!$E9)^2)/UAV_Params!$B$8+ABS(NodeData!$F4-NodeData!$F9)/UAV_Params!$B$9,1))</f>
        <v>22.5</v>
      </c>
      <c r="I4" s="19">
        <f>IF($A4=I$3,0,ROUND(SQRT((NodeData!$D4-NodeData!$D10)^2+(NodeData!$E4-NodeData!$E10)^2)/UAV_Params!$B$8+ABS(NodeData!$F4-NodeData!$F10)/UAV_Params!$B$9,1))</f>
        <v>19</v>
      </c>
      <c r="J4" s="19">
        <f>IF($A4=J$3,0,ROUND(SQRT((NodeData!$D4-NodeData!$D11)^2+(NodeData!$E4-NodeData!$E11)^2)/UAV_Params!$B$8+ABS(NodeData!$F4-NodeData!$F11)/UAV_Params!$B$9,1))</f>
        <v>22.9</v>
      </c>
      <c r="K4" s="19">
        <f>IF($A4=K$3,0,ROUND(SQRT((NodeData!$D4-NodeData!$D12)^2+(NodeData!$E4-NodeData!$E12)^2)/UAV_Params!$B$8+ABS(NodeData!$F4-NodeData!$F12)/UAV_Params!$B$9,1))</f>
        <v>25.3</v>
      </c>
      <c r="L4" s="19">
        <f>IF($A4=L$3,0,ROUND(SQRT((NodeData!$D4-NodeData!$D13)^2+(NodeData!$E4-NodeData!$E13)^2)/UAV_Params!$B$8+ABS(NodeData!$F4-NodeData!$F13)/UAV_Params!$B$9,1))</f>
        <v>15.6</v>
      </c>
      <c r="M4" s="19">
        <f>IF($A4=M$3,0,ROUND(SQRT((NodeData!$D4-NodeData!$D14)^2+(NodeData!$E4-NodeData!$E14)^2)/UAV_Params!$B$8+ABS(NodeData!$F4-NodeData!$F14)/UAV_Params!$B$9,1))</f>
        <v>18.2</v>
      </c>
      <c r="N4" s="19">
        <f>IF($A4=N$3,0,ROUND(SQRT((NodeData!$D4-NodeData!$D15)^2+(NodeData!$E4-NodeData!$E15)^2)/UAV_Params!$B$8+ABS(NodeData!$F4-NodeData!$F15)/UAV_Params!$B$9,1))</f>
        <v>20.9</v>
      </c>
      <c r="O4" s="19">
        <f>IF($A4=O$3,0,ROUND(SQRT((NodeData!$D4-NodeData!$D16)^2+(NodeData!$E4-NodeData!$E16)^2)/UAV_Params!$B$8+ABS(NodeData!$F4-NodeData!$F16)/UAV_Params!$B$9,1))</f>
        <v>16.4</v>
      </c>
      <c r="P4" s="19">
        <f>IF($A4=P$3,0,ROUND(SQRT((NodeData!$D4-NodeData!$D17)^2+(NodeData!$E4-NodeData!$E17)^2)/UAV_Params!$B$8+ABS(NodeData!$F4-NodeData!$F17)/UAV_Params!$B$9,1))</f>
        <v>18.9</v>
      </c>
      <c r="Q4" s="19">
        <f>IF($A4=Q$3,0,ROUND(SQRT((NodeData!$D4-NodeData!$D18)^2+(NodeData!$E4-NodeData!$E18)^2)/UAV_Params!$B$8+ABS(NodeData!$F4-NodeData!$F18)/UAV_Params!$B$9,1))</f>
        <v>18.8</v>
      </c>
      <c r="R4" s="19">
        <f>IF($A4=R$3,0,ROUND(SQRT((NodeData!$D4-NodeData!$D19)^2+(NodeData!$E4-NodeData!$E19)^2)/UAV_Params!$B$8+ABS(NodeData!$F4-NodeData!$F19)/UAV_Params!$B$9,1))</f>
        <v>27.2</v>
      </c>
      <c r="S4" s="19">
        <f>IF($A4=S$3,0,ROUND(SQRT((NodeData!$D4-NodeData!$D20)^2+(NodeData!$E4-NodeData!$E20)^2)/UAV_Params!$B$8+ABS(NodeData!$F4-NodeData!$F20)/UAV_Params!$B$9,1))</f>
        <v>30.2</v>
      </c>
    </row>
    <row r="5" ht="16.5" customHeight="1" spans="1:19">
      <c r="A5" s="18">
        <v>1</v>
      </c>
      <c r="B5" s="17" t="s">
        <v>96</v>
      </c>
      <c r="C5" s="19">
        <f>IF($A5=C$3,0,ROUND(SQRT((NodeData!$D5-NodeData!$D4)^2+(NodeData!$E5-NodeData!$E4)^2)/UAV_Params!$B$8+ABS(NodeData!$F5-NodeData!$F4)/UAV_Params!$B$9,1))</f>
        <v>19</v>
      </c>
      <c r="D5" s="19">
        <f>IF($A5=D$3,0,ROUND(SQRT((NodeData!$D5-NodeData!$D5)^2+(NodeData!$E5-NodeData!$E5)^2)/UAV_Params!$B$8+ABS(NodeData!$F5-NodeData!$F5)/UAV_Params!$B$9,1))</f>
        <v>0</v>
      </c>
      <c r="E5" s="19">
        <f>IF($A5=E$3,0,ROUND(SQRT((NodeData!$D5-NodeData!$D6)^2+(NodeData!$E5-NodeData!$E6)^2)/UAV_Params!$B$8+ABS(NodeData!$F5-NodeData!$F6)/UAV_Params!$B$9,1))</f>
        <v>4.7</v>
      </c>
      <c r="F5" s="19">
        <f>IF($A5=F$3,0,ROUND(SQRT((NodeData!$D5-NodeData!$D7)^2+(NodeData!$E5-NodeData!$E7)^2)/UAV_Params!$B$8+ABS(NodeData!$F5-NodeData!$F7)/UAV_Params!$B$9,1))</f>
        <v>3.5</v>
      </c>
      <c r="G5" s="19">
        <f>IF($A5=G$3,0,ROUND(SQRT((NodeData!$D5-NodeData!$D8)^2+(NodeData!$E5-NodeData!$E8)^2)/UAV_Params!$B$8+ABS(NodeData!$F5-NodeData!$F8)/UAV_Params!$B$9,1))</f>
        <v>9.1</v>
      </c>
      <c r="H5" s="19">
        <f>IF($A5=H$3,0,ROUND(SQRT((NodeData!$D5-NodeData!$D9)^2+(NodeData!$E5-NodeData!$E9)^2)/UAV_Params!$B$8+ABS(NodeData!$F5-NodeData!$F9)/UAV_Params!$B$9,1))</f>
        <v>11.1</v>
      </c>
      <c r="I5" s="19">
        <f>IF($A5=I$3,0,ROUND(SQRT((NodeData!$D5-NodeData!$D10)^2+(NodeData!$E5-NodeData!$E10)^2)/UAV_Params!$B$8+ABS(NodeData!$F5-NodeData!$F10)/UAV_Params!$B$9,1))</f>
        <v>10.8</v>
      </c>
      <c r="J5" s="19">
        <f>IF($A5=J$3,0,ROUND(SQRT((NodeData!$D5-NodeData!$D11)^2+(NodeData!$E5-NodeData!$E11)^2)/UAV_Params!$B$8+ABS(NodeData!$F5-NodeData!$F11)/UAV_Params!$B$9,1))</f>
        <v>19</v>
      </c>
      <c r="K5" s="19">
        <f>IF($A5=K$3,0,ROUND(SQRT((NodeData!$D5-NodeData!$D12)^2+(NodeData!$E5-NodeData!$E12)^2)/UAV_Params!$B$8+ABS(NodeData!$F5-NodeData!$F12)/UAV_Params!$B$9,1))</f>
        <v>21</v>
      </c>
      <c r="L5" s="19">
        <f>IF($A5=L$3,0,ROUND(SQRT((NodeData!$D5-NodeData!$D13)^2+(NodeData!$E5-NodeData!$E13)^2)/UAV_Params!$B$8+ABS(NodeData!$F5-NodeData!$F13)/UAV_Params!$B$9,1))</f>
        <v>23.6</v>
      </c>
      <c r="M5" s="19">
        <f>IF($A5=M$3,0,ROUND(SQRT((NodeData!$D5-NodeData!$D14)^2+(NodeData!$E5-NodeData!$E14)^2)/UAV_Params!$B$8+ABS(NodeData!$F5-NodeData!$F14)/UAV_Params!$B$9,1))</f>
        <v>25.2</v>
      </c>
      <c r="N5" s="19">
        <f>IF($A5=N$3,0,ROUND(SQRT((NodeData!$D5-NodeData!$D15)^2+(NodeData!$E5-NodeData!$E15)^2)/UAV_Params!$B$8+ABS(NodeData!$F5-NodeData!$F15)/UAV_Params!$B$9,1))</f>
        <v>30.9</v>
      </c>
      <c r="O5" s="19">
        <f>IF($A5=O$3,0,ROUND(SQRT((NodeData!$D5-NodeData!$D16)^2+(NodeData!$E5-NodeData!$E16)^2)/UAV_Params!$B$8+ABS(NodeData!$F5-NodeData!$F16)/UAV_Params!$B$9,1))</f>
        <v>29.4</v>
      </c>
      <c r="P5" s="19">
        <f>IF($A5=P$3,0,ROUND(SQRT((NodeData!$D5-NodeData!$D17)^2+(NodeData!$E5-NodeData!$E17)^2)/UAV_Params!$B$8+ABS(NodeData!$F5-NodeData!$F17)/UAV_Params!$B$9,1))</f>
        <v>23.2</v>
      </c>
      <c r="Q5" s="19">
        <f>IF($A5=Q$3,0,ROUND(SQRT((NodeData!$D5-NodeData!$D18)^2+(NodeData!$E5-NodeData!$E18)^2)/UAV_Params!$B$8+ABS(NodeData!$F5-NodeData!$F18)/UAV_Params!$B$9,1))</f>
        <v>22.5</v>
      </c>
      <c r="R5" s="19">
        <f>IF($A5=R$3,0,ROUND(SQRT((NodeData!$D5-NodeData!$D19)^2+(NodeData!$E5-NodeData!$E19)^2)/UAV_Params!$B$8+ABS(NodeData!$F5-NodeData!$F19)/UAV_Params!$B$9,1))</f>
        <v>25.7</v>
      </c>
      <c r="S5" s="19">
        <f>IF($A5=S$3,0,ROUND(SQRT((NodeData!$D5-NodeData!$D20)^2+(NodeData!$E5-NodeData!$E20)^2)/UAV_Params!$B$8+ABS(NodeData!$F5-NodeData!$F20)/UAV_Params!$B$9,1))</f>
        <v>27.8</v>
      </c>
    </row>
    <row r="6" ht="16.5" customHeight="1" spans="1:19">
      <c r="A6" s="18">
        <v>2</v>
      </c>
      <c r="B6" s="17" t="s">
        <v>102</v>
      </c>
      <c r="C6" s="19">
        <f>IF($A6=C$3,0,ROUND(SQRT((NodeData!$D6-NodeData!$D4)^2+(NodeData!$E6-NodeData!$E4)^2)/UAV_Params!$B$8+ABS(NodeData!$F6-NodeData!$F4)/UAV_Params!$B$9,1))</f>
        <v>21</v>
      </c>
      <c r="D6" s="19">
        <f>IF($A6=D$3,0,ROUND(SQRT((NodeData!$D6-NodeData!$D5)^2+(NodeData!$E6-NodeData!$E5)^2)/UAV_Params!$B$8+ABS(NodeData!$F6-NodeData!$F5)/UAV_Params!$B$9,1))</f>
        <v>4.7</v>
      </c>
      <c r="E6" s="19">
        <f>IF($A6=E$3,0,ROUND(SQRT((NodeData!$D6-NodeData!$D6)^2+(NodeData!$E6-NodeData!$E6)^2)/UAV_Params!$B$8+ABS(NodeData!$F6-NodeData!$F6)/UAV_Params!$B$9,1))</f>
        <v>0</v>
      </c>
      <c r="F6" s="19">
        <f>IF($A6=F$3,0,ROUND(SQRT((NodeData!$D6-NodeData!$D7)^2+(NodeData!$E6-NodeData!$E7)^2)/UAV_Params!$B$8+ABS(NodeData!$F6-NodeData!$F7)/UAV_Params!$B$9,1))</f>
        <v>2.9</v>
      </c>
      <c r="G6" s="19">
        <f>IF($A6=G$3,0,ROUND(SQRT((NodeData!$D6-NodeData!$D8)^2+(NodeData!$E6-NodeData!$E8)^2)/UAV_Params!$B$8+ABS(NodeData!$F6-NodeData!$F8)/UAV_Params!$B$9,1))</f>
        <v>11.6</v>
      </c>
      <c r="H6" s="19">
        <f>IF($A6=H$3,0,ROUND(SQRT((NodeData!$D6-NodeData!$D9)^2+(NodeData!$E6-NodeData!$E9)^2)/UAV_Params!$B$8+ABS(NodeData!$F6-NodeData!$F9)/UAV_Params!$B$9,1))</f>
        <v>8.1</v>
      </c>
      <c r="I6" s="19">
        <f>IF($A6=I$3,0,ROUND(SQRT((NodeData!$D6-NodeData!$D10)^2+(NodeData!$E6-NodeData!$E10)^2)/UAV_Params!$B$8+ABS(NodeData!$F6-NodeData!$F10)/UAV_Params!$B$9,1))</f>
        <v>14.3</v>
      </c>
      <c r="J6" s="19">
        <f>IF($A6=J$3,0,ROUND(SQRT((NodeData!$D6-NodeData!$D11)^2+(NodeData!$E6-NodeData!$E11)^2)/UAV_Params!$B$8+ABS(NodeData!$F6-NodeData!$F11)/UAV_Params!$B$9,1))</f>
        <v>20.3</v>
      </c>
      <c r="K6" s="19">
        <f>IF($A6=K$3,0,ROUND(SQRT((NodeData!$D6-NodeData!$D12)^2+(NodeData!$E6-NodeData!$E12)^2)/UAV_Params!$B$8+ABS(NodeData!$F6-NodeData!$F12)/UAV_Params!$B$9,1))</f>
        <v>17.7</v>
      </c>
      <c r="L6" s="19">
        <f>IF($A6=L$3,0,ROUND(SQRT((NodeData!$D6-NodeData!$D13)^2+(NodeData!$E6-NodeData!$E13)^2)/UAV_Params!$B$8+ABS(NodeData!$F6-NodeData!$F13)/UAV_Params!$B$9,1))</f>
        <v>25.8</v>
      </c>
      <c r="M6" s="19">
        <f>IF($A6=M$3,0,ROUND(SQRT((NodeData!$D6-NodeData!$D14)^2+(NodeData!$E6-NodeData!$E14)^2)/UAV_Params!$B$8+ABS(NodeData!$F6-NodeData!$F14)/UAV_Params!$B$9,1))</f>
        <v>21.5</v>
      </c>
      <c r="N6" s="19">
        <f>IF($A6=N$3,0,ROUND(SQRT((NodeData!$D6-NodeData!$D15)^2+(NodeData!$E6-NodeData!$E15)^2)/UAV_Params!$B$8+ABS(NodeData!$F6-NodeData!$F15)/UAV_Params!$B$9,1))</f>
        <v>29.3</v>
      </c>
      <c r="O6" s="19">
        <f>IF($A6=O$3,0,ROUND(SQRT((NodeData!$D6-NodeData!$D16)^2+(NodeData!$E6-NodeData!$E16)^2)/UAV_Params!$B$8+ABS(NodeData!$F6-NodeData!$F16)/UAV_Params!$B$9,1))</f>
        <v>31.4</v>
      </c>
      <c r="P6" s="19">
        <f>IF($A6=P$3,0,ROUND(SQRT((NodeData!$D6-NodeData!$D17)^2+(NodeData!$E6-NodeData!$E17)^2)/UAV_Params!$B$8+ABS(NodeData!$F6-NodeData!$F17)/UAV_Params!$B$9,1))</f>
        <v>22.1</v>
      </c>
      <c r="Q6" s="19">
        <f>IF($A6=Q$3,0,ROUND(SQRT((NodeData!$D6-NodeData!$D18)^2+(NodeData!$E6-NodeData!$E18)^2)/UAV_Params!$B$8+ABS(NodeData!$F6-NodeData!$F18)/UAV_Params!$B$9,1))</f>
        <v>24.3</v>
      </c>
      <c r="R6" s="19">
        <f>IF($A6=R$3,0,ROUND(SQRT((NodeData!$D6-NodeData!$D19)^2+(NodeData!$E6-NodeData!$E19)^2)/UAV_Params!$B$8+ABS(NodeData!$F6-NodeData!$F19)/UAV_Params!$B$9,1))</f>
        <v>25.8</v>
      </c>
      <c r="S6" s="19">
        <f>IF($A6=S$3,0,ROUND(SQRT((NodeData!$D6-NodeData!$D20)^2+(NodeData!$E6-NodeData!$E20)^2)/UAV_Params!$B$8+ABS(NodeData!$F6-NodeData!$F20)/UAV_Params!$B$9,1))</f>
        <v>23.5</v>
      </c>
    </row>
    <row r="7" ht="16.5" customHeight="1" spans="1:19">
      <c r="A7" s="18">
        <v>3</v>
      </c>
      <c r="B7" s="17" t="s">
        <v>107</v>
      </c>
      <c r="C7" s="19">
        <f>IF($A7=C$3,0,ROUND(SQRT((NodeData!$D7-NodeData!$D4)^2+(NodeData!$E7-NodeData!$E4)^2)/UAV_Params!$B$8+ABS(NodeData!$F7-NodeData!$F4)/UAV_Params!$B$9,1))</f>
        <v>18.6</v>
      </c>
      <c r="D7" s="19">
        <f>IF($A7=D$3,0,ROUND(SQRT((NodeData!$D7-NodeData!$D5)^2+(NodeData!$E7-NodeData!$E5)^2)/UAV_Params!$B$8+ABS(NodeData!$F7-NodeData!$F5)/UAV_Params!$B$9,1))</f>
        <v>3.5</v>
      </c>
      <c r="E7" s="19">
        <f>IF($A7=E$3,0,ROUND(SQRT((NodeData!$D7-NodeData!$D6)^2+(NodeData!$E7-NodeData!$E6)^2)/UAV_Params!$B$8+ABS(NodeData!$F7-NodeData!$F6)/UAV_Params!$B$9,1))</f>
        <v>2.9</v>
      </c>
      <c r="F7" s="19">
        <f>IF($A7=F$3,0,ROUND(SQRT((NodeData!$D7-NodeData!$D7)^2+(NodeData!$E7-NodeData!$E7)^2)/UAV_Params!$B$8+ABS(NodeData!$F7-NodeData!$F7)/UAV_Params!$B$9,1))</f>
        <v>0</v>
      </c>
      <c r="G7" s="19">
        <f>IF($A7=G$3,0,ROUND(SQRT((NodeData!$D7-NodeData!$D8)^2+(NodeData!$E7-NodeData!$E8)^2)/UAV_Params!$B$8+ABS(NodeData!$F7-NodeData!$F8)/UAV_Params!$B$9,1))</f>
        <v>8.8</v>
      </c>
      <c r="H7" s="19">
        <f>IF($A7=H$3,0,ROUND(SQRT((NodeData!$D7-NodeData!$D9)^2+(NodeData!$E7-NodeData!$E9)^2)/UAV_Params!$B$8+ABS(NodeData!$F7-NodeData!$F9)/UAV_Params!$B$9,1))</f>
        <v>8.8</v>
      </c>
      <c r="I7" s="19">
        <f>IF($A7=I$3,0,ROUND(SQRT((NodeData!$D7-NodeData!$D10)^2+(NodeData!$E7-NodeData!$E10)^2)/UAV_Params!$B$8+ABS(NodeData!$F7-NodeData!$F10)/UAV_Params!$B$9,1))</f>
        <v>11.5</v>
      </c>
      <c r="J7" s="19">
        <f>IF($A7=J$3,0,ROUND(SQRT((NodeData!$D7-NodeData!$D11)^2+(NodeData!$E7-NodeData!$E11)^2)/UAV_Params!$B$8+ABS(NodeData!$F7-NodeData!$F11)/UAV_Params!$B$9,1))</f>
        <v>17.4</v>
      </c>
      <c r="K7" s="19">
        <f>IF($A7=K$3,0,ROUND(SQRT((NodeData!$D7-NodeData!$D12)^2+(NodeData!$E7-NodeData!$E12)^2)/UAV_Params!$B$8+ABS(NodeData!$F7-NodeData!$F12)/UAV_Params!$B$9,1))</f>
        <v>18.4</v>
      </c>
      <c r="L7" s="19">
        <f>IF($A7=L$3,0,ROUND(SQRT((NodeData!$D7-NodeData!$D13)^2+(NodeData!$E7-NodeData!$E13)^2)/UAV_Params!$B$8+ABS(NodeData!$F7-NodeData!$F13)/UAV_Params!$B$9,1))</f>
        <v>23.2</v>
      </c>
      <c r="M7" s="19">
        <f>IF($A7=M$3,0,ROUND(SQRT((NodeData!$D7-NodeData!$D14)^2+(NodeData!$E7-NodeData!$E14)^2)/UAV_Params!$B$8+ABS(NodeData!$F7-NodeData!$F14)/UAV_Params!$B$9,1))</f>
        <v>21.8</v>
      </c>
      <c r="N7" s="19">
        <f>IF($A7=N$3,0,ROUND(SQRT((NodeData!$D7-NodeData!$D15)^2+(NodeData!$E7-NodeData!$E15)^2)/UAV_Params!$B$8+ABS(NodeData!$F7-NodeData!$F15)/UAV_Params!$B$9,1))</f>
        <v>27.5</v>
      </c>
      <c r="O7" s="19">
        <f>IF($A7=O$3,0,ROUND(SQRT((NodeData!$D7-NodeData!$D16)^2+(NodeData!$E7-NodeData!$E16)^2)/UAV_Params!$B$8+ABS(NodeData!$F7-NodeData!$F16)/UAV_Params!$B$9,1))</f>
        <v>29</v>
      </c>
      <c r="P7" s="19">
        <f>IF($A7=P$3,0,ROUND(SQRT((NodeData!$D7-NodeData!$D17)^2+(NodeData!$E7-NodeData!$E17)^2)/UAV_Params!$B$8+ABS(NodeData!$F7-NodeData!$F17)/UAV_Params!$B$9,1))</f>
        <v>20.5</v>
      </c>
      <c r="Q7" s="19">
        <f>IF($A7=Q$3,0,ROUND(SQRT((NodeData!$D7-NodeData!$D18)^2+(NodeData!$E7-NodeData!$E18)^2)/UAV_Params!$B$8+ABS(NodeData!$F7-NodeData!$F18)/UAV_Params!$B$9,1))</f>
        <v>22.8</v>
      </c>
      <c r="R7" s="19">
        <f>IF($A7=R$3,0,ROUND(SQRT((NodeData!$D7-NodeData!$D19)^2+(NodeData!$E7-NodeData!$E19)^2)/UAV_Params!$B$8+ABS(NodeData!$F7-NodeData!$F19)/UAV_Params!$B$9,1))</f>
        <v>24.7</v>
      </c>
      <c r="S7" s="19">
        <f>IF($A7=S$3,0,ROUND(SQRT((NodeData!$D7-NodeData!$D20)^2+(NodeData!$E7-NodeData!$E20)^2)/UAV_Params!$B$8+ABS(NodeData!$F7-NodeData!$F20)/UAV_Params!$B$9,1))</f>
        <v>25.9</v>
      </c>
    </row>
    <row r="8" ht="16.5" customHeight="1" spans="1:19">
      <c r="A8" s="18">
        <v>4</v>
      </c>
      <c r="B8" s="17" t="s">
        <v>112</v>
      </c>
      <c r="C8" s="19">
        <f>IF($A8=C$3,0,ROUND(SQRT((NodeData!$D8-NodeData!$D4)^2+(NodeData!$E8-NodeData!$E4)^2)/UAV_Params!$B$8+ABS(NodeData!$F8-NodeData!$F4)/UAV_Params!$B$9,1))</f>
        <v>19.3</v>
      </c>
      <c r="D8" s="19">
        <f>IF($A8=D$3,0,ROUND(SQRT((NodeData!$D8-NodeData!$D5)^2+(NodeData!$E8-NodeData!$E5)^2)/UAV_Params!$B$8+ABS(NodeData!$F8-NodeData!$F5)/UAV_Params!$B$9,1))</f>
        <v>9.1</v>
      </c>
      <c r="E8" s="19">
        <f>IF($A8=E$3,0,ROUND(SQRT((NodeData!$D8-NodeData!$D6)^2+(NodeData!$E8-NodeData!$E6)^2)/UAV_Params!$B$8+ABS(NodeData!$F8-NodeData!$F6)/UAV_Params!$B$9,1))</f>
        <v>11.6</v>
      </c>
      <c r="F8" s="19">
        <f>IF($A8=F$3,0,ROUND(SQRT((NodeData!$D8-NodeData!$D7)^2+(NodeData!$E8-NodeData!$E7)^2)/UAV_Params!$B$8+ABS(NodeData!$F8-NodeData!$F7)/UAV_Params!$B$9,1))</f>
        <v>8.8</v>
      </c>
      <c r="G8" s="19">
        <f>IF($A8=G$3,0,ROUND(SQRT((NodeData!$D8-NodeData!$D8)^2+(NodeData!$E8-NodeData!$E8)^2)/UAV_Params!$B$8+ABS(NodeData!$F8-NodeData!$F8)/UAV_Params!$B$9,1))</f>
        <v>0</v>
      </c>
      <c r="H8" s="19">
        <f>IF($A8=H$3,0,ROUND(SQRT((NodeData!$D8-NodeData!$D9)^2+(NodeData!$E8-NodeData!$E9)^2)/UAV_Params!$B$8+ABS(NodeData!$F8-NodeData!$F9)/UAV_Params!$B$9,1))</f>
        <v>5</v>
      </c>
      <c r="I8" s="19">
        <f>IF($A8=I$3,0,ROUND(SQRT((NodeData!$D8-NodeData!$D10)^2+(NodeData!$E8-NodeData!$E10)^2)/UAV_Params!$B$8+ABS(NodeData!$F8-NodeData!$F10)/UAV_Params!$B$9,1))</f>
        <v>2.6</v>
      </c>
      <c r="J8" s="19">
        <f>IF($A8=J$3,0,ROUND(SQRT((NodeData!$D8-NodeData!$D11)^2+(NodeData!$E8-NodeData!$E11)^2)/UAV_Params!$B$8+ABS(NodeData!$F8-NodeData!$F11)/UAV_Params!$B$9,1))</f>
        <v>10</v>
      </c>
      <c r="K8" s="19">
        <f>IF($A8=K$3,0,ROUND(SQRT((NodeData!$D8-NodeData!$D12)^2+(NodeData!$E8-NodeData!$E12)^2)/UAV_Params!$B$8+ABS(NodeData!$F8-NodeData!$F12)/UAV_Params!$B$9,1))</f>
        <v>12.1</v>
      </c>
      <c r="L8" s="19">
        <f>IF($A8=L$3,0,ROUND(SQRT((NodeData!$D8-NodeData!$D13)^2+(NodeData!$E8-NodeData!$E13)^2)/UAV_Params!$B$8+ABS(NodeData!$F8-NodeData!$F13)/UAV_Params!$B$9,1))</f>
        <v>19.6</v>
      </c>
      <c r="M8" s="19">
        <f>IF($A8=M$3,0,ROUND(SQRT((NodeData!$D8-NodeData!$D14)^2+(NodeData!$E8-NodeData!$E14)^2)/UAV_Params!$B$8+ABS(NodeData!$F8-NodeData!$F14)/UAV_Params!$B$9,1))</f>
        <v>20</v>
      </c>
      <c r="N8" s="19">
        <f>IF($A8=N$3,0,ROUND(SQRT((NodeData!$D8-NodeData!$D15)^2+(NodeData!$E8-NodeData!$E15)^2)/UAV_Params!$B$8+ABS(NodeData!$F8-NodeData!$F15)/UAV_Params!$B$9,1))</f>
        <v>28.6</v>
      </c>
      <c r="O8" s="19">
        <f>IF($A8=O$3,0,ROUND(SQRT((NodeData!$D8-NodeData!$D16)^2+(NodeData!$E8-NodeData!$E16)^2)/UAV_Params!$B$8+ABS(NodeData!$F8-NodeData!$F16)/UAV_Params!$B$9,1))</f>
        <v>28.1</v>
      </c>
      <c r="P8" s="19">
        <f>IF($A8=P$3,0,ROUND(SQRT((NodeData!$D8-NodeData!$D17)^2+(NodeData!$E8-NodeData!$E17)^2)/UAV_Params!$B$8+ABS(NodeData!$F8-NodeData!$F17)/UAV_Params!$B$9,1))</f>
        <v>26.6</v>
      </c>
      <c r="Q8" s="19">
        <f>IF($A8=Q$3,0,ROUND(SQRT((NodeData!$D8-NodeData!$D18)^2+(NodeData!$E8-NodeData!$E18)^2)/UAV_Params!$B$8+ABS(NodeData!$F8-NodeData!$F18)/UAV_Params!$B$9,1))</f>
        <v>27.2</v>
      </c>
      <c r="R8" s="19">
        <f>IF($A8=R$3,0,ROUND(SQRT((NodeData!$D8-NodeData!$D19)^2+(NodeData!$E8-NodeData!$E19)^2)/UAV_Params!$B$8+ABS(NodeData!$F8-NodeData!$F19)/UAV_Params!$B$9,1))</f>
        <v>31.7</v>
      </c>
      <c r="S8" s="19">
        <f>IF($A8=S$3,0,ROUND(SQRT((NodeData!$D8-NodeData!$D20)^2+(NodeData!$E8-NodeData!$E20)^2)/UAV_Params!$B$8+ABS(NodeData!$F8-NodeData!$F20)/UAV_Params!$B$9,1))</f>
        <v>34</v>
      </c>
    </row>
    <row r="9" ht="16.5" customHeight="1" spans="1:19">
      <c r="A9" s="18">
        <v>5</v>
      </c>
      <c r="B9" s="17" t="s">
        <v>117</v>
      </c>
      <c r="C9" s="19">
        <f>IF($A9=C$3,0,ROUND(SQRT((NodeData!$D9-NodeData!$D4)^2+(NodeData!$E9-NodeData!$E4)^2)/UAV_Params!$B$8+ABS(NodeData!$F9-NodeData!$F4)/UAV_Params!$B$9,1))</f>
        <v>22.5</v>
      </c>
      <c r="D9" s="19">
        <f>IF($A9=D$3,0,ROUND(SQRT((NodeData!$D9-NodeData!$D5)^2+(NodeData!$E9-NodeData!$E5)^2)/UAV_Params!$B$8+ABS(NodeData!$F9-NodeData!$F5)/UAV_Params!$B$9,1))</f>
        <v>11.1</v>
      </c>
      <c r="E9" s="19">
        <f>IF($A9=E$3,0,ROUND(SQRT((NodeData!$D9-NodeData!$D6)^2+(NodeData!$E9-NodeData!$E6)^2)/UAV_Params!$B$8+ABS(NodeData!$F9-NodeData!$F6)/UAV_Params!$B$9,1))</f>
        <v>8.1</v>
      </c>
      <c r="F9" s="19">
        <f>IF($A9=F$3,0,ROUND(SQRT((NodeData!$D9-NodeData!$D7)^2+(NodeData!$E9-NodeData!$E7)^2)/UAV_Params!$B$8+ABS(NodeData!$F9-NodeData!$F7)/UAV_Params!$B$9,1))</f>
        <v>8.8</v>
      </c>
      <c r="G9" s="19">
        <f>IF($A9=G$3,0,ROUND(SQRT((NodeData!$D9-NodeData!$D8)^2+(NodeData!$E9-NodeData!$E8)^2)/UAV_Params!$B$8+ABS(NodeData!$F9-NodeData!$F8)/UAV_Params!$B$9,1))</f>
        <v>5</v>
      </c>
      <c r="H9" s="19">
        <f>IF($A9=H$3,0,ROUND(SQRT((NodeData!$D9-NodeData!$D9)^2+(NodeData!$E9-NodeData!$E9)^2)/UAV_Params!$B$8+ABS(NodeData!$F9-NodeData!$F9)/UAV_Params!$B$9,1))</f>
        <v>0</v>
      </c>
      <c r="I9" s="19">
        <f>IF($A9=I$3,0,ROUND(SQRT((NodeData!$D9-NodeData!$D10)^2+(NodeData!$E9-NodeData!$E10)^2)/UAV_Params!$B$8+ABS(NodeData!$F9-NodeData!$F10)/UAV_Params!$B$9,1))</f>
        <v>7.7</v>
      </c>
      <c r="J9" s="19">
        <f>IF($A9=J$3,0,ROUND(SQRT((NodeData!$D9-NodeData!$D11)^2+(NodeData!$E9-NodeData!$E11)^2)/UAV_Params!$B$8+ABS(NodeData!$F9-NodeData!$F11)/UAV_Params!$B$9,1))</f>
        <v>14</v>
      </c>
      <c r="K9" s="19">
        <f>IF($A9=K$3,0,ROUND(SQRT((NodeData!$D9-NodeData!$D12)^2+(NodeData!$E9-NodeData!$E12)^2)/UAV_Params!$B$8+ABS(NodeData!$F9-NodeData!$F12)/UAV_Params!$B$9,1))</f>
        <v>10</v>
      </c>
      <c r="L9" s="19">
        <f>IF($A9=L$3,0,ROUND(SQRT((NodeData!$D9-NodeData!$D13)^2+(NodeData!$E9-NodeData!$E13)^2)/UAV_Params!$B$8+ABS(NodeData!$F9-NodeData!$F13)/UAV_Params!$B$9,1))</f>
        <v>23.6</v>
      </c>
      <c r="M9" s="19">
        <f>IF($A9=M$3,0,ROUND(SQRT((NodeData!$D9-NodeData!$D14)^2+(NodeData!$E9-NodeData!$E14)^2)/UAV_Params!$B$8+ABS(NodeData!$F9-NodeData!$F14)/UAV_Params!$B$9,1))</f>
        <v>19.1</v>
      </c>
      <c r="N9" s="19">
        <f>IF($A9=N$3,0,ROUND(SQRT((NodeData!$D9-NodeData!$D15)^2+(NodeData!$E9-NodeData!$E15)^2)/UAV_Params!$B$8+ABS(NodeData!$F9-NodeData!$F15)/UAV_Params!$B$9,1))</f>
        <v>29.7</v>
      </c>
      <c r="O9" s="19">
        <f>IF($A9=O$3,0,ROUND(SQRT((NodeData!$D9-NodeData!$D16)^2+(NodeData!$E9-NodeData!$E16)^2)/UAV_Params!$B$8+ABS(NodeData!$F9-NodeData!$F16)/UAV_Params!$B$9,1))</f>
        <v>31.7</v>
      </c>
      <c r="P9" s="19">
        <f>IF($A9=P$3,0,ROUND(SQRT((NodeData!$D9-NodeData!$D17)^2+(NodeData!$E9-NodeData!$E17)^2)/UAV_Params!$B$8+ABS(NodeData!$F9-NodeData!$F17)/UAV_Params!$B$9,1))</f>
        <v>27.2</v>
      </c>
      <c r="Q9" s="19">
        <f>IF($A9=Q$3,0,ROUND(SQRT((NodeData!$D9-NodeData!$D18)^2+(NodeData!$E9-NodeData!$E18)^2)/UAV_Params!$B$8+ABS(NodeData!$F9-NodeData!$F18)/UAV_Params!$B$9,1))</f>
        <v>29.7</v>
      </c>
      <c r="R9" s="19">
        <f>IF($A9=R$3,0,ROUND(SQRT((NodeData!$D9-NodeData!$D19)^2+(NodeData!$E9-NodeData!$E19)^2)/UAV_Params!$B$8+ABS(NodeData!$F9-NodeData!$F19)/UAV_Params!$B$9,1))</f>
        <v>32.9</v>
      </c>
      <c r="S9" s="19">
        <f>IF($A9=S$3,0,ROUND(SQRT((NodeData!$D9-NodeData!$D20)^2+(NodeData!$E9-NodeData!$E20)^2)/UAV_Params!$B$8+ABS(NodeData!$F9-NodeData!$F20)/UAV_Params!$B$9,1))</f>
        <v>29.2</v>
      </c>
    </row>
    <row r="10" ht="16.5" customHeight="1" spans="1:19">
      <c r="A10" s="18">
        <v>6</v>
      </c>
      <c r="B10" s="17" t="s">
        <v>120</v>
      </c>
      <c r="C10" s="19">
        <f>IF($A10=C$3,0,ROUND(SQRT((NodeData!$D10-NodeData!$D4)^2+(NodeData!$E10-NodeData!$E4)^2)/UAV_Params!$B$8+ABS(NodeData!$F10-NodeData!$F4)/UAV_Params!$B$9,1))</f>
        <v>19</v>
      </c>
      <c r="D10" s="19">
        <f>IF($A10=D$3,0,ROUND(SQRT((NodeData!$D10-NodeData!$D5)^2+(NodeData!$E10-NodeData!$E5)^2)/UAV_Params!$B$8+ABS(NodeData!$F10-NodeData!$F5)/UAV_Params!$B$9,1))</f>
        <v>10.8</v>
      </c>
      <c r="E10" s="19">
        <f>IF($A10=E$3,0,ROUND(SQRT((NodeData!$D10-NodeData!$D6)^2+(NodeData!$E10-NodeData!$E6)^2)/UAV_Params!$B$8+ABS(NodeData!$F10-NodeData!$F6)/UAV_Params!$B$9,1))</f>
        <v>14.3</v>
      </c>
      <c r="F10" s="19">
        <f>IF($A10=F$3,0,ROUND(SQRT((NodeData!$D10-NodeData!$D7)^2+(NodeData!$E10-NodeData!$E7)^2)/UAV_Params!$B$8+ABS(NodeData!$F10-NodeData!$F7)/UAV_Params!$B$9,1))</f>
        <v>11.5</v>
      </c>
      <c r="G10" s="19">
        <f>IF($A10=G$3,0,ROUND(SQRT((NodeData!$D10-NodeData!$D8)^2+(NodeData!$E10-NodeData!$E8)^2)/UAV_Params!$B$8+ABS(NodeData!$F10-NodeData!$F8)/UAV_Params!$B$9,1))</f>
        <v>2.6</v>
      </c>
      <c r="H10" s="19">
        <f>IF($A10=H$3,0,ROUND(SQRT((NodeData!$D10-NodeData!$D9)^2+(NodeData!$E10-NodeData!$E9)^2)/UAV_Params!$B$8+ABS(NodeData!$F10-NodeData!$F9)/UAV_Params!$B$9,1))</f>
        <v>7.7</v>
      </c>
      <c r="I10" s="19">
        <f>IF($A10=I$3,0,ROUND(SQRT((NodeData!$D10-NodeData!$D10)^2+(NodeData!$E10-NodeData!$E10)^2)/UAV_Params!$B$8+ABS(NodeData!$F10-NodeData!$F10)/UAV_Params!$B$9,1))</f>
        <v>0</v>
      </c>
      <c r="J10" s="19">
        <f>IF($A10=J$3,0,ROUND(SQRT((NodeData!$D10-NodeData!$D11)^2+(NodeData!$E10-NodeData!$E11)^2)/UAV_Params!$B$8+ABS(NodeData!$F10-NodeData!$F11)/UAV_Params!$B$9,1))</f>
        <v>9.5</v>
      </c>
      <c r="K10" s="19">
        <f>IF($A10=K$3,0,ROUND(SQRT((NodeData!$D10-NodeData!$D12)^2+(NodeData!$E10-NodeData!$E12)^2)/UAV_Params!$B$8+ABS(NodeData!$F10-NodeData!$F12)/UAV_Params!$B$9,1))</f>
        <v>11.6</v>
      </c>
      <c r="L10" s="19">
        <f>IF($A10=L$3,0,ROUND(SQRT((NodeData!$D10-NodeData!$D13)^2+(NodeData!$E10-NodeData!$E13)^2)/UAV_Params!$B$8+ABS(NodeData!$F10-NodeData!$F13)/UAV_Params!$B$9,1))</f>
        <v>18.7</v>
      </c>
      <c r="M10" s="19">
        <f>IF($A10=M$3,0,ROUND(SQRT((NodeData!$D10-NodeData!$D14)^2+(NodeData!$E10-NodeData!$E14)^2)/UAV_Params!$B$8+ABS(NodeData!$F10-NodeData!$F14)/UAV_Params!$B$9,1))</f>
        <v>20.7</v>
      </c>
      <c r="N10" s="19">
        <f>IF($A10=N$3,0,ROUND(SQRT((NodeData!$D10-NodeData!$D15)^2+(NodeData!$E10-NodeData!$E15)^2)/UAV_Params!$B$8+ABS(NodeData!$F10-NodeData!$F15)/UAV_Params!$B$9,1))</f>
        <v>29.7</v>
      </c>
      <c r="O10" s="19">
        <f>IF($A10=O$3,0,ROUND(SQRT((NodeData!$D10-NodeData!$D16)^2+(NodeData!$E10-NodeData!$E16)^2)/UAV_Params!$B$8+ABS(NodeData!$F10-NodeData!$F16)/UAV_Params!$B$9,1))</f>
        <v>27.2</v>
      </c>
      <c r="P10" s="19">
        <f>IF($A10=P$3,0,ROUND(SQRT((NodeData!$D10-NodeData!$D17)^2+(NodeData!$E10-NodeData!$E17)^2)/UAV_Params!$B$8+ABS(NodeData!$F10-NodeData!$F17)/UAV_Params!$B$9,1))</f>
        <v>28.7</v>
      </c>
      <c r="Q10" s="19">
        <f>IF($A10=Q$3,0,ROUND(SQRT((NodeData!$D10-NodeData!$D18)^2+(NodeData!$E10-NodeData!$E18)^2)/UAV_Params!$B$8+ABS(NodeData!$F10-NodeData!$F18)/UAV_Params!$B$9,1))</f>
        <v>28.3</v>
      </c>
      <c r="R10" s="19">
        <f>IF($A10=R$3,0,ROUND(SQRT((NodeData!$D10-NodeData!$D19)^2+(NodeData!$E10-NodeData!$E19)^2)/UAV_Params!$B$8+ABS(NodeData!$F10-NodeData!$F19)/UAV_Params!$B$9,1))</f>
        <v>34.1</v>
      </c>
      <c r="S10" s="19">
        <f>IF($A10=S$3,0,ROUND(SQRT((NodeData!$D10-NodeData!$D20)^2+(NodeData!$E10-NodeData!$E20)^2)/UAV_Params!$B$8+ABS(NodeData!$F10-NodeData!$F20)/UAV_Params!$B$9,1))</f>
        <v>36.5</v>
      </c>
    </row>
    <row r="11" ht="16.5" customHeight="1" spans="1:19">
      <c r="A11" s="18">
        <v>7</v>
      </c>
      <c r="B11" s="17" t="s">
        <v>124</v>
      </c>
      <c r="C11" s="19">
        <f>IF($A11=C$3,0,ROUND(SQRT((NodeData!$D11-NodeData!$D4)^2+(NodeData!$E11-NodeData!$E4)^2)/UAV_Params!$B$8+ABS(NodeData!$F11-NodeData!$F4)/UAV_Params!$B$9,1))</f>
        <v>22.9</v>
      </c>
      <c r="D11" s="19">
        <f>IF($A11=D$3,0,ROUND(SQRT((NodeData!$D11-NodeData!$D5)^2+(NodeData!$E11-NodeData!$E5)^2)/UAV_Params!$B$8+ABS(NodeData!$F11-NodeData!$F5)/UAV_Params!$B$9,1))</f>
        <v>19</v>
      </c>
      <c r="E11" s="19">
        <f>IF($A11=E$3,0,ROUND(SQRT((NodeData!$D11-NodeData!$D6)^2+(NodeData!$E11-NodeData!$E6)^2)/UAV_Params!$B$8+ABS(NodeData!$F11-NodeData!$F6)/UAV_Params!$B$9,1))</f>
        <v>20.3</v>
      </c>
      <c r="F11" s="19">
        <f>IF($A11=F$3,0,ROUND(SQRT((NodeData!$D11-NodeData!$D7)^2+(NodeData!$E11-NodeData!$E7)^2)/UAV_Params!$B$8+ABS(NodeData!$F11-NodeData!$F7)/UAV_Params!$B$9,1))</f>
        <v>17.4</v>
      </c>
      <c r="G11" s="19">
        <f>IF($A11=G$3,0,ROUND(SQRT((NodeData!$D11-NodeData!$D8)^2+(NodeData!$E11-NodeData!$E8)^2)/UAV_Params!$B$8+ABS(NodeData!$F11-NodeData!$F8)/UAV_Params!$B$9,1))</f>
        <v>10</v>
      </c>
      <c r="H11" s="19">
        <f>IF($A11=H$3,0,ROUND(SQRT((NodeData!$D11-NodeData!$D9)^2+(NodeData!$E11-NodeData!$E9)^2)/UAV_Params!$B$8+ABS(NodeData!$F11-NodeData!$F9)/UAV_Params!$B$9,1))</f>
        <v>14</v>
      </c>
      <c r="I11" s="19">
        <f>IF($A11=I$3,0,ROUND(SQRT((NodeData!$D11-NodeData!$D10)^2+(NodeData!$E11-NodeData!$E10)^2)/UAV_Params!$B$8+ABS(NodeData!$F11-NodeData!$F10)/UAV_Params!$B$9,1))</f>
        <v>9.5</v>
      </c>
      <c r="J11" s="19">
        <f>IF($A11=J$3,0,ROUND(SQRT((NodeData!$D11-NodeData!$D11)^2+(NodeData!$E11-NodeData!$E11)^2)/UAV_Params!$B$8+ABS(NodeData!$F11-NodeData!$F11)/UAV_Params!$B$9,1))</f>
        <v>0</v>
      </c>
      <c r="K11" s="19">
        <f>IF($A11=K$3,0,ROUND(SQRT((NodeData!$D11-NodeData!$D12)^2+(NodeData!$E11-NodeData!$E12)^2)/UAV_Params!$B$8+ABS(NodeData!$F11-NodeData!$F12)/UAV_Params!$B$9,1))</f>
        <v>5</v>
      </c>
      <c r="L11" s="19">
        <f>IF($A11=L$3,0,ROUND(SQRT((NodeData!$D11-NodeData!$D13)^2+(NodeData!$E11-NodeData!$E13)^2)/UAV_Params!$B$8+ABS(NodeData!$F11-NodeData!$F13)/UAV_Params!$B$9,1))</f>
        <v>16.6</v>
      </c>
      <c r="M11" s="19">
        <f>IF($A11=M$3,0,ROUND(SQRT((NodeData!$D11-NodeData!$D14)^2+(NodeData!$E11-NodeData!$E14)^2)/UAV_Params!$B$8+ABS(NodeData!$F11-NodeData!$F14)/UAV_Params!$B$9,1))</f>
        <v>16.2</v>
      </c>
      <c r="N11" s="19">
        <f>IF($A11=N$3,0,ROUND(SQRT((NodeData!$D11-NodeData!$D15)^2+(NodeData!$E11-NodeData!$E15)^2)/UAV_Params!$B$8+ABS(NodeData!$F11-NodeData!$F15)/UAV_Params!$B$9,1))</f>
        <v>26.8</v>
      </c>
      <c r="O11" s="19">
        <f>IF($A11=O$3,0,ROUND(SQRT((NodeData!$D11-NodeData!$D16)^2+(NodeData!$E11-NodeData!$E16)^2)/UAV_Params!$B$8+ABS(NodeData!$F11-NodeData!$F16)/UAV_Params!$B$9,1))</f>
        <v>27.4</v>
      </c>
      <c r="P11" s="19">
        <f>IF($A11=P$3,0,ROUND(SQRT((NodeData!$D11-NodeData!$D17)^2+(NodeData!$E11-NodeData!$E17)^2)/UAV_Params!$B$8+ABS(NodeData!$F11-NodeData!$F17)/UAV_Params!$B$9,1))</f>
        <v>30.8</v>
      </c>
      <c r="Q11" s="19">
        <f>IF($A11=Q$3,0,ROUND(SQRT((NodeData!$D11-NodeData!$D18)^2+(NodeData!$E11-NodeData!$E18)^2)/UAV_Params!$B$8+ABS(NodeData!$F11-NodeData!$F18)/UAV_Params!$B$9,1))</f>
        <v>32.7</v>
      </c>
      <c r="R11" s="19">
        <f>IF($A11=R$3,0,ROUND(SQRT((NodeData!$D11-NodeData!$D19)^2+(NodeData!$E11-NodeData!$E19)^2)/UAV_Params!$B$8+ABS(NodeData!$F11-NodeData!$F19)/UAV_Params!$B$9,1))</f>
        <v>37.9</v>
      </c>
      <c r="S11" s="19">
        <f>IF($A11=S$3,0,ROUND(SQRT((NodeData!$D11-NodeData!$D20)^2+(NodeData!$E11-NodeData!$E20)^2)/UAV_Params!$B$8+ABS(NodeData!$F11-NodeData!$F20)/UAV_Params!$B$9,1))</f>
        <v>40.6</v>
      </c>
    </row>
    <row r="12" ht="16.5" customHeight="1" spans="1:19">
      <c r="A12" s="18">
        <v>8</v>
      </c>
      <c r="B12" s="17" t="s">
        <v>129</v>
      </c>
      <c r="C12" s="19">
        <f>IF($A12=C$3,0,ROUND(SQRT((NodeData!$D12-NodeData!$D4)^2+(NodeData!$E12-NodeData!$E4)^2)/UAV_Params!$B$8+ABS(NodeData!$F12-NodeData!$F4)/UAV_Params!$B$9,1))</f>
        <v>25.3</v>
      </c>
      <c r="D12" s="19">
        <f>IF($A12=D$3,0,ROUND(SQRT((NodeData!$D12-NodeData!$D5)^2+(NodeData!$E12-NodeData!$E5)^2)/UAV_Params!$B$8+ABS(NodeData!$F12-NodeData!$F5)/UAV_Params!$B$9,1))</f>
        <v>21</v>
      </c>
      <c r="E12" s="19">
        <f>IF($A12=E$3,0,ROUND(SQRT((NodeData!$D12-NodeData!$D6)^2+(NodeData!$E12-NodeData!$E6)^2)/UAV_Params!$B$8+ABS(NodeData!$F12-NodeData!$F6)/UAV_Params!$B$9,1))</f>
        <v>17.7</v>
      </c>
      <c r="F12" s="19">
        <f>IF($A12=F$3,0,ROUND(SQRT((NodeData!$D12-NodeData!$D7)^2+(NodeData!$E12-NodeData!$E7)^2)/UAV_Params!$B$8+ABS(NodeData!$F12-NodeData!$F7)/UAV_Params!$B$9,1))</f>
        <v>18.4</v>
      </c>
      <c r="G12" s="19">
        <f>IF($A12=G$3,0,ROUND(SQRT((NodeData!$D12-NodeData!$D8)^2+(NodeData!$E12-NodeData!$E8)^2)/UAV_Params!$B$8+ABS(NodeData!$F12-NodeData!$F8)/UAV_Params!$B$9,1))</f>
        <v>12.1</v>
      </c>
      <c r="H12" s="19">
        <f>IF($A12=H$3,0,ROUND(SQRT((NodeData!$D12-NodeData!$D9)^2+(NodeData!$E12-NodeData!$E9)^2)/UAV_Params!$B$8+ABS(NodeData!$F12-NodeData!$F9)/UAV_Params!$B$9,1))</f>
        <v>10</v>
      </c>
      <c r="I12" s="19">
        <f>IF($A12=I$3,0,ROUND(SQRT((NodeData!$D12-NodeData!$D10)^2+(NodeData!$E12-NodeData!$E10)^2)/UAV_Params!$B$8+ABS(NodeData!$F12-NodeData!$F10)/UAV_Params!$B$9,1))</f>
        <v>11.6</v>
      </c>
      <c r="J12" s="19">
        <f>IF($A12=J$3,0,ROUND(SQRT((NodeData!$D12-NodeData!$D11)^2+(NodeData!$E12-NodeData!$E11)^2)/UAV_Params!$B$8+ABS(NodeData!$F12-NodeData!$F11)/UAV_Params!$B$9,1))</f>
        <v>5</v>
      </c>
      <c r="K12" s="19">
        <f>IF($A12=K$3,0,ROUND(SQRT((NodeData!$D12-NodeData!$D12)^2+(NodeData!$E12-NodeData!$E12)^2)/UAV_Params!$B$8+ABS(NodeData!$F12-NodeData!$F12)/UAV_Params!$B$9,1))</f>
        <v>0</v>
      </c>
      <c r="L12" s="19">
        <f>IF($A12=L$3,0,ROUND(SQRT((NodeData!$D12-NodeData!$D13)^2+(NodeData!$E12-NodeData!$E13)^2)/UAV_Params!$B$8+ABS(NodeData!$F12-NodeData!$F13)/UAV_Params!$B$9,1))</f>
        <v>19.9</v>
      </c>
      <c r="M12" s="19">
        <f>IF($A12=M$3,0,ROUND(SQRT((NodeData!$D12-NodeData!$D14)^2+(NodeData!$E12-NodeData!$E14)^2)/UAV_Params!$B$8+ABS(NodeData!$F12-NodeData!$F14)/UAV_Params!$B$9,1))</f>
        <v>15.4</v>
      </c>
      <c r="N12" s="19">
        <f>IF($A12=N$3,0,ROUND(SQRT((NodeData!$D12-NodeData!$D15)^2+(NodeData!$E12-NodeData!$E15)^2)/UAV_Params!$B$8+ABS(NodeData!$F12-NodeData!$F15)/UAV_Params!$B$9,1))</f>
        <v>28.4</v>
      </c>
      <c r="O12" s="19">
        <f>IF($A12=O$3,0,ROUND(SQRT((NodeData!$D12-NodeData!$D16)^2+(NodeData!$E12-NodeData!$E16)^2)/UAV_Params!$B$8+ABS(NodeData!$F12-NodeData!$F16)/UAV_Params!$B$9,1))</f>
        <v>30.4</v>
      </c>
      <c r="P12" s="19">
        <f>IF($A12=P$3,0,ROUND(SQRT((NodeData!$D12-NodeData!$D17)^2+(NodeData!$E12-NodeData!$E17)^2)/UAV_Params!$B$8+ABS(NodeData!$F12-NodeData!$F17)/UAV_Params!$B$9,1))</f>
        <v>32.1</v>
      </c>
      <c r="Q12" s="19">
        <f>IF($A12=Q$3,0,ROUND(SQRT((NodeData!$D12-NodeData!$D18)^2+(NodeData!$E12-NodeData!$E18)^2)/UAV_Params!$B$8+ABS(NodeData!$F12-NodeData!$F18)/UAV_Params!$B$9,1))</f>
        <v>34.9</v>
      </c>
      <c r="R12" s="19">
        <f>IF($A12=R$3,0,ROUND(SQRT((NodeData!$D12-NodeData!$D19)^2+(NodeData!$E12-NodeData!$E19)^2)/UAV_Params!$B$8+ABS(NodeData!$F12-NodeData!$F19)/UAV_Params!$B$9,1))</f>
        <v>40</v>
      </c>
      <c r="S12" s="19">
        <f>IF($A12=S$3,0,ROUND(SQRT((NodeData!$D12-NodeData!$D20)^2+(NodeData!$E12-NodeData!$E20)^2)/UAV_Params!$B$8+ABS(NodeData!$F12-NodeData!$F20)/UAV_Params!$B$9,1))</f>
        <v>36.7</v>
      </c>
    </row>
    <row r="13" ht="16.5" customHeight="1" spans="1:19">
      <c r="A13" s="18">
        <v>9</v>
      </c>
      <c r="B13" s="17" t="s">
        <v>133</v>
      </c>
      <c r="C13" s="19">
        <f>IF($A13=C$3,0,ROUND(SQRT((NodeData!$D13-NodeData!$D4)^2+(NodeData!$E13-NodeData!$E4)^2)/UAV_Params!$B$8+ABS(NodeData!$F13-NodeData!$F4)/UAV_Params!$B$9,1))</f>
        <v>15.6</v>
      </c>
      <c r="D13" s="19">
        <f>IF($A13=D$3,0,ROUND(SQRT((NodeData!$D13-NodeData!$D5)^2+(NodeData!$E13-NodeData!$E5)^2)/UAV_Params!$B$8+ABS(NodeData!$F13-NodeData!$F5)/UAV_Params!$B$9,1))</f>
        <v>23.6</v>
      </c>
      <c r="E13" s="19">
        <f>IF($A13=E$3,0,ROUND(SQRT((NodeData!$D13-NodeData!$D6)^2+(NodeData!$E13-NodeData!$E6)^2)/UAV_Params!$B$8+ABS(NodeData!$F13-NodeData!$F6)/UAV_Params!$B$9,1))</f>
        <v>25.8</v>
      </c>
      <c r="F13" s="19">
        <f>IF($A13=F$3,0,ROUND(SQRT((NodeData!$D13-NodeData!$D7)^2+(NodeData!$E13-NodeData!$E7)^2)/UAV_Params!$B$8+ABS(NodeData!$F13-NodeData!$F7)/UAV_Params!$B$9,1))</f>
        <v>23.2</v>
      </c>
      <c r="G13" s="19">
        <f>IF($A13=G$3,0,ROUND(SQRT((NodeData!$D13-NodeData!$D8)^2+(NodeData!$E13-NodeData!$E8)^2)/UAV_Params!$B$8+ABS(NodeData!$F13-NodeData!$F8)/UAV_Params!$B$9,1))</f>
        <v>19.6</v>
      </c>
      <c r="H13" s="19">
        <f>IF($A13=H$3,0,ROUND(SQRT((NodeData!$D13-NodeData!$D9)^2+(NodeData!$E13-NodeData!$E9)^2)/UAV_Params!$B$8+ABS(NodeData!$F13-NodeData!$F9)/UAV_Params!$B$9,1))</f>
        <v>23.6</v>
      </c>
      <c r="I13" s="19">
        <f>IF($A13=I$3,0,ROUND(SQRT((NodeData!$D13-NodeData!$D10)^2+(NodeData!$E13-NodeData!$E10)^2)/UAV_Params!$B$8+ABS(NodeData!$F13-NodeData!$F10)/UAV_Params!$B$9,1))</f>
        <v>18.7</v>
      </c>
      <c r="J13" s="19">
        <f>IF($A13=J$3,0,ROUND(SQRT((NodeData!$D13-NodeData!$D11)^2+(NodeData!$E13-NodeData!$E11)^2)/UAV_Params!$B$8+ABS(NodeData!$F13-NodeData!$F11)/UAV_Params!$B$9,1))</f>
        <v>16.6</v>
      </c>
      <c r="K13" s="19">
        <f>IF($A13=K$3,0,ROUND(SQRT((NodeData!$D13-NodeData!$D12)^2+(NodeData!$E13-NodeData!$E12)^2)/UAV_Params!$B$8+ABS(NodeData!$F13-NodeData!$F12)/UAV_Params!$B$9,1))</f>
        <v>19.9</v>
      </c>
      <c r="L13" s="19">
        <f>IF($A13=L$3,0,ROUND(SQRT((NodeData!$D13-NodeData!$D13)^2+(NodeData!$E13-NodeData!$E13)^2)/UAV_Params!$B$8+ABS(NodeData!$F13-NodeData!$F13)/UAV_Params!$B$9,1))</f>
        <v>0</v>
      </c>
      <c r="M13" s="19">
        <f>IF($A13=M$3,0,ROUND(SQRT((NodeData!$D13-NodeData!$D14)^2+(NodeData!$E13-NodeData!$E14)^2)/UAV_Params!$B$8+ABS(NodeData!$F13-NodeData!$F14)/UAV_Params!$B$9,1))</f>
        <v>4.6</v>
      </c>
      <c r="N13" s="19">
        <f>IF($A13=N$3,0,ROUND(SQRT((NodeData!$D13-NodeData!$D15)^2+(NodeData!$E13-NodeData!$E15)^2)/UAV_Params!$B$8+ABS(NodeData!$F13-NodeData!$F15)/UAV_Params!$B$9,1))</f>
        <v>13</v>
      </c>
      <c r="O13" s="19">
        <f>IF($A13=O$3,0,ROUND(SQRT((NodeData!$D13-NodeData!$D16)^2+(NodeData!$E13-NodeData!$E16)^2)/UAV_Params!$B$8+ABS(NodeData!$F13-NodeData!$F16)/UAV_Params!$B$9,1))</f>
        <v>11.2</v>
      </c>
      <c r="P13" s="19">
        <f>IF($A13=P$3,0,ROUND(SQRT((NodeData!$D13-NodeData!$D17)^2+(NodeData!$E13-NodeData!$E17)^2)/UAV_Params!$B$8+ABS(NodeData!$F13-NodeData!$F17)/UAV_Params!$B$9,1))</f>
        <v>23.5</v>
      </c>
      <c r="Q13" s="19">
        <f>IF($A13=Q$3,0,ROUND(SQRT((NodeData!$D13-NodeData!$D18)^2+(NodeData!$E13-NodeData!$E18)^2)/UAV_Params!$B$8+ABS(NodeData!$F13-NodeData!$F18)/UAV_Params!$B$9,1))</f>
        <v>23.5</v>
      </c>
      <c r="R13" s="19">
        <f>IF($A13=R$3,0,ROUND(SQRT((NodeData!$D13-NodeData!$D19)^2+(NodeData!$E13-NodeData!$E19)^2)/UAV_Params!$B$8+ABS(NodeData!$F13-NodeData!$F19)/UAV_Params!$B$9,1))</f>
        <v>33.2</v>
      </c>
      <c r="S13" s="19">
        <f>IF($A13=S$3,0,ROUND(SQRT((NodeData!$D13-NodeData!$D20)^2+(NodeData!$E13-NodeData!$E20)^2)/UAV_Params!$B$8+ABS(NodeData!$F13-NodeData!$F20)/UAV_Params!$B$9,1))</f>
        <v>36.4</v>
      </c>
    </row>
    <row r="14" ht="16.5" customHeight="1" spans="1:19">
      <c r="A14" s="18">
        <v>10</v>
      </c>
      <c r="B14" s="17" t="s">
        <v>137</v>
      </c>
      <c r="C14" s="19">
        <f>IF($A14=C$3,0,ROUND(SQRT((NodeData!$D14-NodeData!$D4)^2+(NodeData!$E14-NodeData!$E4)^2)/UAV_Params!$B$8+ABS(NodeData!$F14-NodeData!$F4)/UAV_Params!$B$9,1))</f>
        <v>18.2</v>
      </c>
      <c r="D14" s="19">
        <f>IF($A14=D$3,0,ROUND(SQRT((NodeData!$D14-NodeData!$D5)^2+(NodeData!$E14-NodeData!$E5)^2)/UAV_Params!$B$8+ABS(NodeData!$F14-NodeData!$F5)/UAV_Params!$B$9,1))</f>
        <v>25.2</v>
      </c>
      <c r="E14" s="19">
        <f>IF($A14=E$3,0,ROUND(SQRT((NodeData!$D14-NodeData!$D6)^2+(NodeData!$E14-NodeData!$E6)^2)/UAV_Params!$B$8+ABS(NodeData!$F14-NodeData!$F6)/UAV_Params!$B$9,1))</f>
        <v>21.5</v>
      </c>
      <c r="F14" s="19">
        <f>IF($A14=F$3,0,ROUND(SQRT((NodeData!$D14-NodeData!$D7)^2+(NodeData!$E14-NodeData!$E7)^2)/UAV_Params!$B$8+ABS(NodeData!$F14-NodeData!$F7)/UAV_Params!$B$9,1))</f>
        <v>21.8</v>
      </c>
      <c r="G14" s="19">
        <f>IF($A14=G$3,0,ROUND(SQRT((NodeData!$D14-NodeData!$D8)^2+(NodeData!$E14-NodeData!$E8)^2)/UAV_Params!$B$8+ABS(NodeData!$F14-NodeData!$F8)/UAV_Params!$B$9,1))</f>
        <v>20</v>
      </c>
      <c r="H14" s="19">
        <f>IF($A14=H$3,0,ROUND(SQRT((NodeData!$D14-NodeData!$D9)^2+(NodeData!$E14-NodeData!$E9)^2)/UAV_Params!$B$8+ABS(NodeData!$F14-NodeData!$F9)/UAV_Params!$B$9,1))</f>
        <v>19.1</v>
      </c>
      <c r="I14" s="19">
        <f>IF($A14=I$3,0,ROUND(SQRT((NodeData!$D14-NodeData!$D10)^2+(NodeData!$E14-NodeData!$E10)^2)/UAV_Params!$B$8+ABS(NodeData!$F14-NodeData!$F10)/UAV_Params!$B$9,1))</f>
        <v>20.7</v>
      </c>
      <c r="J14" s="19">
        <f>IF($A14=J$3,0,ROUND(SQRT((NodeData!$D14-NodeData!$D11)^2+(NodeData!$E14-NodeData!$E11)^2)/UAV_Params!$B$8+ABS(NodeData!$F14-NodeData!$F11)/UAV_Params!$B$9,1))</f>
        <v>16.2</v>
      </c>
      <c r="K14" s="19">
        <f>IF($A14=K$3,0,ROUND(SQRT((NodeData!$D14-NodeData!$D12)^2+(NodeData!$E14-NodeData!$E12)^2)/UAV_Params!$B$8+ABS(NodeData!$F14-NodeData!$F12)/UAV_Params!$B$9,1))</f>
        <v>15.4</v>
      </c>
      <c r="L14" s="19">
        <f>IF($A14=L$3,0,ROUND(SQRT((NodeData!$D14-NodeData!$D13)^2+(NodeData!$E14-NodeData!$E13)^2)/UAV_Params!$B$8+ABS(NodeData!$F14-NodeData!$F13)/UAV_Params!$B$9,1))</f>
        <v>4.6</v>
      </c>
      <c r="M14" s="19">
        <f>IF($A14=M$3,0,ROUND(SQRT((NodeData!$D14-NodeData!$D14)^2+(NodeData!$E14-NodeData!$E14)^2)/UAV_Params!$B$8+ABS(NodeData!$F14-NodeData!$F14)/UAV_Params!$B$9,1))</f>
        <v>0</v>
      </c>
      <c r="N14" s="19">
        <f>IF($A14=N$3,0,ROUND(SQRT((NodeData!$D14-NodeData!$D15)^2+(NodeData!$E14-NodeData!$E15)^2)/UAV_Params!$B$8+ABS(NodeData!$F14-NodeData!$F15)/UAV_Params!$B$9,1))</f>
        <v>13.3</v>
      </c>
      <c r="O14" s="19">
        <f>IF($A14=O$3,0,ROUND(SQRT((NodeData!$D14-NodeData!$D16)^2+(NodeData!$E14-NodeData!$E16)^2)/UAV_Params!$B$8+ABS(NodeData!$F14-NodeData!$F16)/UAV_Params!$B$9,1))</f>
        <v>15.4</v>
      </c>
      <c r="P14" s="19">
        <f>IF($A14=P$3,0,ROUND(SQRT((NodeData!$D14-NodeData!$D17)^2+(NodeData!$E14-NodeData!$E17)^2)/UAV_Params!$B$8+ABS(NodeData!$F14-NodeData!$F17)/UAV_Params!$B$9,1))</f>
        <v>23.2</v>
      </c>
      <c r="Q14" s="19">
        <f>IF($A14=Q$3,0,ROUND(SQRT((NodeData!$D14-NodeData!$D18)^2+(NodeData!$E14-NodeData!$E18)^2)/UAV_Params!$B$8+ABS(NodeData!$F14-NodeData!$F18)/UAV_Params!$B$9,1))</f>
        <v>26.2</v>
      </c>
      <c r="R14" s="19">
        <f>IF($A14=R$3,0,ROUND(SQRT((NodeData!$D14-NodeData!$D19)^2+(NodeData!$E14-NodeData!$E19)^2)/UAV_Params!$B$8+ABS(NodeData!$F14-NodeData!$F19)/UAV_Params!$B$9,1))</f>
        <v>33.7</v>
      </c>
      <c r="S14" s="19">
        <f>IF($A14=S$3,0,ROUND(SQRT((NodeData!$D14-NodeData!$D20)^2+(NodeData!$E14-NodeData!$E20)^2)/UAV_Params!$B$8+ABS(NodeData!$F14-NodeData!$F20)/UAV_Params!$B$9,1))</f>
        <v>32.9</v>
      </c>
    </row>
    <row r="15" ht="16.5" customHeight="1" spans="1:19">
      <c r="A15" s="18">
        <v>11</v>
      </c>
      <c r="B15" s="17" t="s">
        <v>140</v>
      </c>
      <c r="C15" s="19">
        <f>IF($A15=C$3,0,ROUND(SQRT((NodeData!$D15-NodeData!$D4)^2+(NodeData!$E15-NodeData!$E4)^2)/UAV_Params!$B$8+ABS(NodeData!$F15-NodeData!$F4)/UAV_Params!$B$9,1))</f>
        <v>20.9</v>
      </c>
      <c r="D15" s="19">
        <f>IF($A15=D$3,0,ROUND(SQRT((NodeData!$D15-NodeData!$D5)^2+(NodeData!$E15-NodeData!$E5)^2)/UAV_Params!$B$8+ABS(NodeData!$F15-NodeData!$F5)/UAV_Params!$B$9,1))</f>
        <v>30.9</v>
      </c>
      <c r="E15" s="19">
        <f>IF($A15=E$3,0,ROUND(SQRT((NodeData!$D15-NodeData!$D6)^2+(NodeData!$E15-NodeData!$E6)^2)/UAV_Params!$B$8+ABS(NodeData!$F15-NodeData!$F6)/UAV_Params!$B$9,1))</f>
        <v>29.3</v>
      </c>
      <c r="F15" s="19">
        <f>IF($A15=F$3,0,ROUND(SQRT((NodeData!$D15-NodeData!$D7)^2+(NodeData!$E15-NodeData!$E7)^2)/UAV_Params!$B$8+ABS(NodeData!$F15-NodeData!$F7)/UAV_Params!$B$9,1))</f>
        <v>27.5</v>
      </c>
      <c r="G15" s="19">
        <f>IF($A15=G$3,0,ROUND(SQRT((NodeData!$D15-NodeData!$D8)^2+(NodeData!$E15-NodeData!$E8)^2)/UAV_Params!$B$8+ABS(NodeData!$F15-NodeData!$F8)/UAV_Params!$B$9,1))</f>
        <v>28.6</v>
      </c>
      <c r="H15" s="19">
        <f>IF($A15=H$3,0,ROUND(SQRT((NodeData!$D15-NodeData!$D9)^2+(NodeData!$E15-NodeData!$E9)^2)/UAV_Params!$B$8+ABS(NodeData!$F15-NodeData!$F9)/UAV_Params!$B$9,1))</f>
        <v>29.7</v>
      </c>
      <c r="I15" s="19">
        <f>IF($A15=I$3,0,ROUND(SQRT((NodeData!$D15-NodeData!$D10)^2+(NodeData!$E15-NodeData!$E10)^2)/UAV_Params!$B$8+ABS(NodeData!$F15-NodeData!$F10)/UAV_Params!$B$9,1))</f>
        <v>29.7</v>
      </c>
      <c r="J15" s="19">
        <f>IF($A15=J$3,0,ROUND(SQRT((NodeData!$D15-NodeData!$D11)^2+(NodeData!$E15-NodeData!$E11)^2)/UAV_Params!$B$8+ABS(NodeData!$F15-NodeData!$F11)/UAV_Params!$B$9,1))</f>
        <v>26.8</v>
      </c>
      <c r="K15" s="19">
        <f>IF($A15=K$3,0,ROUND(SQRT((NodeData!$D15-NodeData!$D12)^2+(NodeData!$E15-NodeData!$E12)^2)/UAV_Params!$B$8+ABS(NodeData!$F15-NodeData!$F12)/UAV_Params!$B$9,1))</f>
        <v>28.4</v>
      </c>
      <c r="L15" s="19">
        <f>IF($A15=L$3,0,ROUND(SQRT((NodeData!$D15-NodeData!$D13)^2+(NodeData!$E15-NodeData!$E13)^2)/UAV_Params!$B$8+ABS(NodeData!$F15-NodeData!$F13)/UAV_Params!$B$9,1))</f>
        <v>13</v>
      </c>
      <c r="M15" s="19">
        <f>IF($A15=M$3,0,ROUND(SQRT((NodeData!$D15-NodeData!$D14)^2+(NodeData!$E15-NodeData!$E14)^2)/UAV_Params!$B$8+ABS(NodeData!$F15-NodeData!$F14)/UAV_Params!$B$9,1))</f>
        <v>13.3</v>
      </c>
      <c r="N15" s="19">
        <f>IF($A15=N$3,0,ROUND(SQRT((NodeData!$D15-NodeData!$D15)^2+(NodeData!$E15-NodeData!$E15)^2)/UAV_Params!$B$8+ABS(NodeData!$F15-NodeData!$F15)/UAV_Params!$B$9,1))</f>
        <v>0</v>
      </c>
      <c r="O15" s="19">
        <f>IF($A15=O$3,0,ROUND(SQRT((NodeData!$D15-NodeData!$D16)^2+(NodeData!$E15-NodeData!$E16)^2)/UAV_Params!$B$8+ABS(NodeData!$F15-NodeData!$F16)/UAV_Params!$B$9,1))</f>
        <v>4.6</v>
      </c>
      <c r="P15" s="19">
        <f>IF($A15=P$3,0,ROUND(SQRT((NodeData!$D15-NodeData!$D17)^2+(NodeData!$E15-NodeData!$E17)^2)/UAV_Params!$B$8+ABS(NodeData!$F15-NodeData!$F17)/UAV_Params!$B$9,1))</f>
        <v>17.7</v>
      </c>
      <c r="Q15" s="19">
        <f>IF($A15=Q$3,0,ROUND(SQRT((NodeData!$D15-NodeData!$D18)^2+(NodeData!$E15-NodeData!$E18)^2)/UAV_Params!$B$8+ABS(NodeData!$F15-NodeData!$F18)/UAV_Params!$B$9,1))</f>
        <v>20.6</v>
      </c>
      <c r="R15" s="19">
        <f>IF($A15=R$3,0,ROUND(SQRT((NodeData!$D15-NodeData!$D19)^2+(NodeData!$E15-NodeData!$E19)^2)/UAV_Params!$B$8+ABS(NodeData!$F15-NodeData!$F19)/UAV_Params!$B$9,1))</f>
        <v>28.9</v>
      </c>
      <c r="S15" s="19">
        <f>IF($A15=S$3,0,ROUND(SQRT((NodeData!$D15-NodeData!$D20)^2+(NodeData!$E15-NodeData!$E20)^2)/UAV_Params!$B$8+ABS(NodeData!$F15-NodeData!$F20)/UAV_Params!$B$9,1))</f>
        <v>31.2</v>
      </c>
    </row>
    <row r="16" ht="16.5" customHeight="1" spans="1:19">
      <c r="A16" s="18">
        <v>12</v>
      </c>
      <c r="B16" s="17" t="s">
        <v>144</v>
      </c>
      <c r="C16" s="19">
        <f>IF($A16=C$3,0,ROUND(SQRT((NodeData!$D16-NodeData!$D4)^2+(NodeData!$E16-NodeData!$E4)^2)/UAV_Params!$B$8+ABS(NodeData!$F16-NodeData!$F4)/UAV_Params!$B$9,1))</f>
        <v>16.4</v>
      </c>
      <c r="D16" s="19">
        <f>IF($A16=D$3,0,ROUND(SQRT((NodeData!$D16-NodeData!$D5)^2+(NodeData!$E16-NodeData!$E5)^2)/UAV_Params!$B$8+ABS(NodeData!$F16-NodeData!$F5)/UAV_Params!$B$9,1))</f>
        <v>29.4</v>
      </c>
      <c r="E16" s="19">
        <f>IF($A16=E$3,0,ROUND(SQRT((NodeData!$D16-NodeData!$D6)^2+(NodeData!$E16-NodeData!$E6)^2)/UAV_Params!$B$8+ABS(NodeData!$F16-NodeData!$F6)/UAV_Params!$B$9,1))</f>
        <v>31.4</v>
      </c>
      <c r="F16" s="19">
        <f>IF($A16=F$3,0,ROUND(SQRT((NodeData!$D16-NodeData!$D7)^2+(NodeData!$E16-NodeData!$E7)^2)/UAV_Params!$B$8+ABS(NodeData!$F16-NodeData!$F7)/UAV_Params!$B$9,1))</f>
        <v>29</v>
      </c>
      <c r="G16" s="19">
        <f>IF($A16=G$3,0,ROUND(SQRT((NodeData!$D16-NodeData!$D8)^2+(NodeData!$E16-NodeData!$E8)^2)/UAV_Params!$B$8+ABS(NodeData!$F16-NodeData!$F8)/UAV_Params!$B$9,1))</f>
        <v>28.1</v>
      </c>
      <c r="H16" s="19">
        <f>IF($A16=H$3,0,ROUND(SQRT((NodeData!$D16-NodeData!$D9)^2+(NodeData!$E16-NodeData!$E9)^2)/UAV_Params!$B$8+ABS(NodeData!$F16-NodeData!$F9)/UAV_Params!$B$9,1))</f>
        <v>31.7</v>
      </c>
      <c r="I16" s="19">
        <f>IF($A16=I$3,0,ROUND(SQRT((NodeData!$D16-NodeData!$D10)^2+(NodeData!$E16-NodeData!$E10)^2)/UAV_Params!$B$8+ABS(NodeData!$F16-NodeData!$F10)/UAV_Params!$B$9,1))</f>
        <v>27.2</v>
      </c>
      <c r="J16" s="19">
        <f>IF($A16=J$3,0,ROUND(SQRT((NodeData!$D16-NodeData!$D11)^2+(NodeData!$E16-NodeData!$E11)^2)/UAV_Params!$B$8+ABS(NodeData!$F16-NodeData!$F11)/UAV_Params!$B$9,1))</f>
        <v>27.4</v>
      </c>
      <c r="K16" s="19">
        <f>IF($A16=K$3,0,ROUND(SQRT((NodeData!$D16-NodeData!$D12)^2+(NodeData!$E16-NodeData!$E12)^2)/UAV_Params!$B$8+ABS(NodeData!$F16-NodeData!$F12)/UAV_Params!$B$9,1))</f>
        <v>30.4</v>
      </c>
      <c r="L16" s="19">
        <f>IF($A16=L$3,0,ROUND(SQRT((NodeData!$D16-NodeData!$D13)^2+(NodeData!$E16-NodeData!$E13)^2)/UAV_Params!$B$8+ABS(NodeData!$F16-NodeData!$F13)/UAV_Params!$B$9,1))</f>
        <v>11.2</v>
      </c>
      <c r="M16" s="19">
        <f>IF($A16=M$3,0,ROUND(SQRT((NodeData!$D16-NodeData!$D14)^2+(NodeData!$E16-NodeData!$E14)^2)/UAV_Params!$B$8+ABS(NodeData!$F16-NodeData!$F14)/UAV_Params!$B$9,1))</f>
        <v>15.4</v>
      </c>
      <c r="N16" s="19">
        <f>IF($A16=N$3,0,ROUND(SQRT((NodeData!$D16-NodeData!$D15)^2+(NodeData!$E16-NodeData!$E15)^2)/UAV_Params!$B$8+ABS(NodeData!$F16-NodeData!$F15)/UAV_Params!$B$9,1))</f>
        <v>4.6</v>
      </c>
      <c r="O16" s="19">
        <f>IF($A16=O$3,0,ROUND(SQRT((NodeData!$D16-NodeData!$D16)^2+(NodeData!$E16-NodeData!$E16)^2)/UAV_Params!$B$8+ABS(NodeData!$F16-NodeData!$F16)/UAV_Params!$B$9,1))</f>
        <v>0</v>
      </c>
      <c r="P16" s="19">
        <f>IF($A16=P$3,0,ROUND(SQRT((NodeData!$D16-NodeData!$D17)^2+(NodeData!$E16-NodeData!$E17)^2)/UAV_Params!$B$8+ABS(NodeData!$F16-NodeData!$F17)/UAV_Params!$B$9,1))</f>
        <v>20.1</v>
      </c>
      <c r="Q16" s="19">
        <f>IF($A16=Q$3,0,ROUND(SQRT((NodeData!$D16-NodeData!$D18)^2+(NodeData!$E16-NodeData!$E18)^2)/UAV_Params!$B$8+ABS(NodeData!$F16-NodeData!$F18)/UAV_Params!$B$9,1))</f>
        <v>19.9</v>
      </c>
      <c r="R16" s="19">
        <f>IF($A16=R$3,0,ROUND(SQRT((NodeData!$D16-NodeData!$D19)^2+(NodeData!$E16-NodeData!$E19)^2)/UAV_Params!$B$8+ABS(NodeData!$F16-NodeData!$F19)/UAV_Params!$B$9,1))</f>
        <v>30.3</v>
      </c>
      <c r="S16" s="19">
        <f>IF($A16=S$3,0,ROUND(SQRT((NodeData!$D16-NodeData!$D20)^2+(NodeData!$E16-NodeData!$E20)^2)/UAV_Params!$B$8+ABS(NodeData!$F16-NodeData!$F20)/UAV_Params!$B$9,1))</f>
        <v>34</v>
      </c>
    </row>
    <row r="17" ht="16.5" customHeight="1" spans="1:19">
      <c r="A17" s="18">
        <v>13</v>
      </c>
      <c r="B17" s="17" t="s">
        <v>148</v>
      </c>
      <c r="C17" s="19">
        <f>IF($A17=C$3,0,ROUND(SQRT((NodeData!$D17-NodeData!$D4)^2+(NodeData!$E17-NodeData!$E4)^2)/UAV_Params!$B$8+ABS(NodeData!$F17-NodeData!$F4)/UAV_Params!$B$9,1))</f>
        <v>18.9</v>
      </c>
      <c r="D17" s="19">
        <f>IF($A17=D$3,0,ROUND(SQRT((NodeData!$D17-NodeData!$D5)^2+(NodeData!$E17-NodeData!$E5)^2)/UAV_Params!$B$8+ABS(NodeData!$F17-NodeData!$F5)/UAV_Params!$B$9,1))</f>
        <v>23.2</v>
      </c>
      <c r="E17" s="19">
        <f>IF($A17=E$3,0,ROUND(SQRT((NodeData!$D17-NodeData!$D6)^2+(NodeData!$E17-NodeData!$E6)^2)/UAV_Params!$B$8+ABS(NodeData!$F17-NodeData!$F6)/UAV_Params!$B$9,1))</f>
        <v>22.1</v>
      </c>
      <c r="F17" s="19">
        <f>IF($A17=F$3,0,ROUND(SQRT((NodeData!$D17-NodeData!$D7)^2+(NodeData!$E17-NodeData!$E7)^2)/UAV_Params!$B$8+ABS(NodeData!$F17-NodeData!$F7)/UAV_Params!$B$9,1))</f>
        <v>20.5</v>
      </c>
      <c r="G17" s="19">
        <f>IF($A17=G$3,0,ROUND(SQRT((NodeData!$D17-NodeData!$D8)^2+(NodeData!$E17-NodeData!$E8)^2)/UAV_Params!$B$8+ABS(NodeData!$F17-NodeData!$F8)/UAV_Params!$B$9,1))</f>
        <v>26.6</v>
      </c>
      <c r="H17" s="19">
        <f>IF($A17=H$3,0,ROUND(SQRT((NodeData!$D17-NodeData!$D9)^2+(NodeData!$E17-NodeData!$E9)^2)/UAV_Params!$B$8+ABS(NodeData!$F17-NodeData!$F9)/UAV_Params!$B$9,1))</f>
        <v>27.2</v>
      </c>
      <c r="I17" s="19">
        <f>IF($A17=I$3,0,ROUND(SQRT((NodeData!$D17-NodeData!$D10)^2+(NodeData!$E17-NodeData!$E10)^2)/UAV_Params!$B$8+ABS(NodeData!$F17-NodeData!$F10)/UAV_Params!$B$9,1))</f>
        <v>28.7</v>
      </c>
      <c r="J17" s="19">
        <f>IF($A17=J$3,0,ROUND(SQRT((NodeData!$D17-NodeData!$D11)^2+(NodeData!$E17-NodeData!$E11)^2)/UAV_Params!$B$8+ABS(NodeData!$F17-NodeData!$F11)/UAV_Params!$B$9,1))</f>
        <v>30.8</v>
      </c>
      <c r="K17" s="19">
        <f>IF($A17=K$3,0,ROUND(SQRT((NodeData!$D17-NodeData!$D12)^2+(NodeData!$E17-NodeData!$E12)^2)/UAV_Params!$B$8+ABS(NodeData!$F17-NodeData!$F12)/UAV_Params!$B$9,1))</f>
        <v>32.1</v>
      </c>
      <c r="L17" s="19">
        <f>IF($A17=L$3,0,ROUND(SQRT((NodeData!$D17-NodeData!$D13)^2+(NodeData!$E17-NodeData!$E13)^2)/UAV_Params!$B$8+ABS(NodeData!$F17-NodeData!$F13)/UAV_Params!$B$9,1))</f>
        <v>23.5</v>
      </c>
      <c r="M17" s="19">
        <f>IF($A17=M$3,0,ROUND(SQRT((NodeData!$D17-NodeData!$D14)^2+(NodeData!$E17-NodeData!$E14)^2)/UAV_Params!$B$8+ABS(NodeData!$F17-NodeData!$F14)/UAV_Params!$B$9,1))</f>
        <v>23.2</v>
      </c>
      <c r="N17" s="19">
        <f>IF($A17=N$3,0,ROUND(SQRT((NodeData!$D17-NodeData!$D15)^2+(NodeData!$E17-NodeData!$E15)^2)/UAV_Params!$B$8+ABS(NodeData!$F17-NodeData!$F15)/UAV_Params!$B$9,1))</f>
        <v>17.7</v>
      </c>
      <c r="O17" s="19">
        <f>IF($A17=O$3,0,ROUND(SQRT((NodeData!$D17-NodeData!$D16)^2+(NodeData!$E17-NodeData!$E16)^2)/UAV_Params!$B$8+ABS(NodeData!$F17-NodeData!$F16)/UAV_Params!$B$9,1))</f>
        <v>20.1</v>
      </c>
      <c r="P17" s="19">
        <f>IF($A17=P$3,0,ROUND(SQRT((NodeData!$D17-NodeData!$D17)^2+(NodeData!$E17-NodeData!$E17)^2)/UAV_Params!$B$8+ABS(NodeData!$F17-NodeData!$F17)/UAV_Params!$B$9,1))</f>
        <v>0</v>
      </c>
      <c r="Q17" s="19">
        <f>IF($A17=Q$3,0,ROUND(SQRT((NodeData!$D17-NodeData!$D18)^2+(NodeData!$E17-NodeData!$E18)^2)/UAV_Params!$B$8+ABS(NodeData!$F17-NodeData!$F18)/UAV_Params!$B$9,1))</f>
        <v>3</v>
      </c>
      <c r="R17" s="19">
        <f>IF($A17=R$3,0,ROUND(SQRT((NodeData!$D17-NodeData!$D19)^2+(NodeData!$E17-NodeData!$E19)^2)/UAV_Params!$B$8+ABS(NodeData!$F17-NodeData!$F19)/UAV_Params!$B$9,1))</f>
        <v>11.2</v>
      </c>
      <c r="S17" s="19">
        <f>IF($A17=S$3,0,ROUND(SQRT((NodeData!$D17-NodeData!$D20)^2+(NodeData!$E17-NodeData!$E20)^2)/UAV_Params!$B$8+ABS(NodeData!$F17-NodeData!$F20)/UAV_Params!$B$9,1))</f>
        <v>13.9</v>
      </c>
    </row>
    <row r="18" ht="16.5" customHeight="1" spans="1:19">
      <c r="A18" s="18">
        <v>14</v>
      </c>
      <c r="B18" s="17" t="s">
        <v>152</v>
      </c>
      <c r="C18" s="19">
        <f>IF($A18=C$3,0,ROUND(SQRT((NodeData!$D18-NodeData!$D4)^2+(NodeData!$E18-NodeData!$E4)^2)/UAV_Params!$B$8+ABS(NodeData!$F18-NodeData!$F4)/UAV_Params!$B$9,1))</f>
        <v>18.8</v>
      </c>
      <c r="D18" s="19">
        <f>IF($A18=D$3,0,ROUND(SQRT((NodeData!$D18-NodeData!$D5)^2+(NodeData!$E18-NodeData!$E5)^2)/UAV_Params!$B$8+ABS(NodeData!$F18-NodeData!$F5)/UAV_Params!$B$9,1))</f>
        <v>22.5</v>
      </c>
      <c r="E18" s="19">
        <f>IF($A18=E$3,0,ROUND(SQRT((NodeData!$D18-NodeData!$D6)^2+(NodeData!$E18-NodeData!$E6)^2)/UAV_Params!$B$8+ABS(NodeData!$F18-NodeData!$F6)/UAV_Params!$B$9,1))</f>
        <v>24.3</v>
      </c>
      <c r="F18" s="19">
        <f>IF($A18=F$3,0,ROUND(SQRT((NodeData!$D18-NodeData!$D7)^2+(NodeData!$E18-NodeData!$E7)^2)/UAV_Params!$B$8+ABS(NodeData!$F18-NodeData!$F7)/UAV_Params!$B$9,1))</f>
        <v>22.8</v>
      </c>
      <c r="G18" s="19">
        <f>IF($A18=G$3,0,ROUND(SQRT((NodeData!$D18-NodeData!$D8)^2+(NodeData!$E18-NodeData!$E8)^2)/UAV_Params!$B$8+ABS(NodeData!$F18-NodeData!$F8)/UAV_Params!$B$9,1))</f>
        <v>27.2</v>
      </c>
      <c r="H18" s="19">
        <f>IF($A18=H$3,0,ROUND(SQRT((NodeData!$D18-NodeData!$D9)^2+(NodeData!$E18-NodeData!$E9)^2)/UAV_Params!$B$8+ABS(NodeData!$F18-NodeData!$F9)/UAV_Params!$B$9,1))</f>
        <v>29.7</v>
      </c>
      <c r="I18" s="19">
        <f>IF($A18=I$3,0,ROUND(SQRT((NodeData!$D18-NodeData!$D10)^2+(NodeData!$E18-NodeData!$E10)^2)/UAV_Params!$B$8+ABS(NodeData!$F18-NodeData!$F10)/UAV_Params!$B$9,1))</f>
        <v>28.3</v>
      </c>
      <c r="J18" s="19">
        <f>IF($A18=J$3,0,ROUND(SQRT((NodeData!$D18-NodeData!$D11)^2+(NodeData!$E18-NodeData!$E11)^2)/UAV_Params!$B$8+ABS(NodeData!$F18-NodeData!$F11)/UAV_Params!$B$9,1))</f>
        <v>32.7</v>
      </c>
      <c r="K18" s="19">
        <f>IF($A18=K$3,0,ROUND(SQRT((NodeData!$D18-NodeData!$D12)^2+(NodeData!$E18-NodeData!$E12)^2)/UAV_Params!$B$8+ABS(NodeData!$F18-NodeData!$F12)/UAV_Params!$B$9,1))</f>
        <v>34.9</v>
      </c>
      <c r="L18" s="19">
        <f>IF($A18=L$3,0,ROUND(SQRT((NodeData!$D18-NodeData!$D13)^2+(NodeData!$E18-NodeData!$E13)^2)/UAV_Params!$B$8+ABS(NodeData!$F18-NodeData!$F13)/UAV_Params!$B$9,1))</f>
        <v>23.5</v>
      </c>
      <c r="M18" s="19">
        <f>IF($A18=M$3,0,ROUND(SQRT((NodeData!$D18-NodeData!$D14)^2+(NodeData!$E18-NodeData!$E14)^2)/UAV_Params!$B$8+ABS(NodeData!$F18-NodeData!$F14)/UAV_Params!$B$9,1))</f>
        <v>26.2</v>
      </c>
      <c r="N18" s="19">
        <f>IF($A18=N$3,0,ROUND(SQRT((NodeData!$D18-NodeData!$D15)^2+(NodeData!$E18-NodeData!$E15)^2)/UAV_Params!$B$8+ABS(NodeData!$F18-NodeData!$F15)/UAV_Params!$B$9,1))</f>
        <v>20.6</v>
      </c>
      <c r="O18" s="19">
        <f>IF($A18=O$3,0,ROUND(SQRT((NodeData!$D18-NodeData!$D16)^2+(NodeData!$E18-NodeData!$E16)^2)/UAV_Params!$B$8+ABS(NodeData!$F18-NodeData!$F16)/UAV_Params!$B$9,1))</f>
        <v>19.9</v>
      </c>
      <c r="P18" s="19">
        <f>IF($A18=P$3,0,ROUND(SQRT((NodeData!$D18-NodeData!$D17)^2+(NodeData!$E18-NodeData!$E17)^2)/UAV_Params!$B$8+ABS(NodeData!$F18-NodeData!$F17)/UAV_Params!$B$9,1))</f>
        <v>3</v>
      </c>
      <c r="Q18" s="19">
        <f>IF($A18=Q$3,0,ROUND(SQRT((NodeData!$D18-NodeData!$D18)^2+(NodeData!$E18-NodeData!$E18)^2)/UAV_Params!$B$8+ABS(NodeData!$F18-NodeData!$F18)/UAV_Params!$B$9,1))</f>
        <v>0</v>
      </c>
      <c r="R18" s="19">
        <f>IF($A18=R$3,0,ROUND(SQRT((NodeData!$D18-NodeData!$D19)^2+(NodeData!$E18-NodeData!$E19)^2)/UAV_Params!$B$8+ABS(NodeData!$F18-NodeData!$F19)/UAV_Params!$B$9,1))</f>
        <v>10.3</v>
      </c>
      <c r="S18" s="19">
        <f>IF($A18=S$3,0,ROUND(SQRT((NodeData!$D18-NodeData!$D20)^2+(NodeData!$E18-NodeData!$E20)^2)/UAV_Params!$B$8+ABS(NodeData!$F18-NodeData!$F20)/UAV_Params!$B$9,1))</f>
        <v>14.1</v>
      </c>
    </row>
    <row r="19" ht="16.5" customHeight="1" spans="1:19">
      <c r="A19" s="18">
        <v>15</v>
      </c>
      <c r="B19" s="17" t="s">
        <v>156</v>
      </c>
      <c r="C19" s="19">
        <f>IF($A19=C$3,0,ROUND(SQRT((NodeData!$D19-NodeData!$D4)^2+(NodeData!$E19-NodeData!$E4)^2)/UAV_Params!$B$8+ABS(NodeData!$F19-NodeData!$F4)/UAV_Params!$B$9,1))</f>
        <v>27.2</v>
      </c>
      <c r="D19" s="19">
        <f>IF($A19=D$3,0,ROUND(SQRT((NodeData!$D19-NodeData!$D5)^2+(NodeData!$E19-NodeData!$E5)^2)/UAV_Params!$B$8+ABS(NodeData!$F19-NodeData!$F5)/UAV_Params!$B$9,1))</f>
        <v>25.7</v>
      </c>
      <c r="E19" s="19">
        <f>IF($A19=E$3,0,ROUND(SQRT((NodeData!$D19-NodeData!$D6)^2+(NodeData!$E19-NodeData!$E6)^2)/UAV_Params!$B$8+ABS(NodeData!$F19-NodeData!$F6)/UAV_Params!$B$9,1))</f>
        <v>25.8</v>
      </c>
      <c r="F19" s="19">
        <f>IF($A19=F$3,0,ROUND(SQRT((NodeData!$D19-NodeData!$D7)^2+(NodeData!$E19-NodeData!$E7)^2)/UAV_Params!$B$8+ABS(NodeData!$F19-NodeData!$F7)/UAV_Params!$B$9,1))</f>
        <v>24.7</v>
      </c>
      <c r="G19" s="19">
        <f>IF($A19=G$3,0,ROUND(SQRT((NodeData!$D19-NodeData!$D8)^2+(NodeData!$E19-NodeData!$E8)^2)/UAV_Params!$B$8+ABS(NodeData!$F19-NodeData!$F8)/UAV_Params!$B$9,1))</f>
        <v>31.7</v>
      </c>
      <c r="H19" s="19">
        <f>IF($A19=H$3,0,ROUND(SQRT((NodeData!$D19-NodeData!$D9)^2+(NodeData!$E19-NodeData!$E9)^2)/UAV_Params!$B$8+ABS(NodeData!$F19-NodeData!$F9)/UAV_Params!$B$9,1))</f>
        <v>32.9</v>
      </c>
      <c r="I19" s="19">
        <f>IF($A19=I$3,0,ROUND(SQRT((NodeData!$D19-NodeData!$D10)^2+(NodeData!$E19-NodeData!$E10)^2)/UAV_Params!$B$8+ABS(NodeData!$F19-NodeData!$F10)/UAV_Params!$B$9,1))</f>
        <v>34.1</v>
      </c>
      <c r="J19" s="19">
        <f>IF($A19=J$3,0,ROUND(SQRT((NodeData!$D19-NodeData!$D11)^2+(NodeData!$E19-NodeData!$E11)^2)/UAV_Params!$B$8+ABS(NodeData!$F19-NodeData!$F11)/UAV_Params!$B$9,1))</f>
        <v>37.9</v>
      </c>
      <c r="K19" s="19">
        <f>IF($A19=K$3,0,ROUND(SQRT((NodeData!$D19-NodeData!$D12)^2+(NodeData!$E19-NodeData!$E12)^2)/UAV_Params!$B$8+ABS(NodeData!$F19-NodeData!$F12)/UAV_Params!$B$9,1))</f>
        <v>40</v>
      </c>
      <c r="L19" s="19">
        <f>IF($A19=L$3,0,ROUND(SQRT((NodeData!$D19-NodeData!$D13)^2+(NodeData!$E19-NodeData!$E13)^2)/UAV_Params!$B$8+ABS(NodeData!$F19-NodeData!$F13)/UAV_Params!$B$9,1))</f>
        <v>33.2</v>
      </c>
      <c r="M19" s="19">
        <f>IF($A19=M$3,0,ROUND(SQRT((NodeData!$D19-NodeData!$D14)^2+(NodeData!$E19-NodeData!$E14)^2)/UAV_Params!$B$8+ABS(NodeData!$F19-NodeData!$F14)/UAV_Params!$B$9,1))</f>
        <v>33.7</v>
      </c>
      <c r="N19" s="19">
        <f>IF($A19=N$3,0,ROUND(SQRT((NodeData!$D19-NodeData!$D15)^2+(NodeData!$E19-NodeData!$E15)^2)/UAV_Params!$B$8+ABS(NodeData!$F19-NodeData!$F15)/UAV_Params!$B$9,1))</f>
        <v>28.9</v>
      </c>
      <c r="O19" s="19">
        <f>IF($A19=O$3,0,ROUND(SQRT((NodeData!$D19-NodeData!$D16)^2+(NodeData!$E19-NodeData!$E16)^2)/UAV_Params!$B$8+ABS(NodeData!$F19-NodeData!$F16)/UAV_Params!$B$9,1))</f>
        <v>30.3</v>
      </c>
      <c r="P19" s="19">
        <f>IF($A19=P$3,0,ROUND(SQRT((NodeData!$D19-NodeData!$D17)^2+(NodeData!$E19-NodeData!$E17)^2)/UAV_Params!$B$8+ABS(NodeData!$F19-NodeData!$F17)/UAV_Params!$B$9,1))</f>
        <v>11.2</v>
      </c>
      <c r="Q19" s="19">
        <f>IF($A19=Q$3,0,ROUND(SQRT((NodeData!$D19-NodeData!$D18)^2+(NodeData!$E19-NodeData!$E18)^2)/UAV_Params!$B$8+ABS(NodeData!$F19-NodeData!$F18)/UAV_Params!$B$9,1))</f>
        <v>10.3</v>
      </c>
      <c r="R19" s="19">
        <f>IF($A19=R$3,0,ROUND(SQRT((NodeData!$D19-NodeData!$D19)^2+(NodeData!$E19-NodeData!$E19)^2)/UAV_Params!$B$8+ABS(NodeData!$F19-NodeData!$F19)/UAV_Params!$B$9,1))</f>
        <v>0</v>
      </c>
      <c r="S19" s="19">
        <f>IF($A19=S$3,0,ROUND(SQRT((NodeData!$D19-NodeData!$D20)^2+(NodeData!$E19-NodeData!$E20)^2)/UAV_Params!$B$8+ABS(NodeData!$F19-NodeData!$F20)/UAV_Params!$B$9,1))</f>
        <v>4.5</v>
      </c>
    </row>
    <row r="20" ht="16.5" customHeight="1" spans="1:19">
      <c r="A20" s="18">
        <v>16</v>
      </c>
      <c r="B20" s="17" t="s">
        <v>160</v>
      </c>
      <c r="C20" s="19">
        <f>IF($A20=C$3,0,ROUND(SQRT((NodeData!$D20-NodeData!$D4)^2+(NodeData!$E20-NodeData!$E4)^2)/UAV_Params!$B$8+ABS(NodeData!$F20-NodeData!$F4)/UAV_Params!$B$9,1))</f>
        <v>30.2</v>
      </c>
      <c r="D20" s="19">
        <f>IF($A20=D$3,0,ROUND(SQRT((NodeData!$D20-NodeData!$D5)^2+(NodeData!$E20-NodeData!$E5)^2)/UAV_Params!$B$8+ABS(NodeData!$F20-NodeData!$F5)/UAV_Params!$B$9,1))</f>
        <v>27.8</v>
      </c>
      <c r="E20" s="19">
        <f>IF($A20=E$3,0,ROUND(SQRT((NodeData!$D20-NodeData!$D6)^2+(NodeData!$E20-NodeData!$E6)^2)/UAV_Params!$B$8+ABS(NodeData!$F20-NodeData!$F6)/UAV_Params!$B$9,1))</f>
        <v>23.5</v>
      </c>
      <c r="F20" s="19">
        <f>IF($A20=F$3,0,ROUND(SQRT((NodeData!$D20-NodeData!$D7)^2+(NodeData!$E20-NodeData!$E7)^2)/UAV_Params!$B$8+ABS(NodeData!$F20-NodeData!$F7)/UAV_Params!$B$9,1))</f>
        <v>25.9</v>
      </c>
      <c r="G20" s="19">
        <f>IF($A20=G$3,0,ROUND(SQRT((NodeData!$D20-NodeData!$D8)^2+(NodeData!$E20-NodeData!$E8)^2)/UAV_Params!$B$8+ABS(NodeData!$F20-NodeData!$F8)/UAV_Params!$B$9,1))</f>
        <v>34</v>
      </c>
      <c r="H20" s="19">
        <f>IF($A20=H$3,0,ROUND(SQRT((NodeData!$D20-NodeData!$D9)^2+(NodeData!$E20-NodeData!$E9)^2)/UAV_Params!$B$8+ABS(NodeData!$F20-NodeData!$F9)/UAV_Params!$B$9,1))</f>
        <v>29.2</v>
      </c>
      <c r="I20" s="19">
        <f>IF($A20=I$3,0,ROUND(SQRT((NodeData!$D20-NodeData!$D10)^2+(NodeData!$E20-NodeData!$E10)^2)/UAV_Params!$B$8+ABS(NodeData!$F20-NodeData!$F10)/UAV_Params!$B$9,1))</f>
        <v>36.5</v>
      </c>
      <c r="J20" s="19">
        <f>IF($A20=J$3,0,ROUND(SQRT((NodeData!$D20-NodeData!$D11)^2+(NodeData!$E20-NodeData!$E11)^2)/UAV_Params!$B$8+ABS(NodeData!$F20-NodeData!$F11)/UAV_Params!$B$9,1))</f>
        <v>40.6</v>
      </c>
      <c r="K20" s="19">
        <f>IF($A20=K$3,0,ROUND(SQRT((NodeData!$D20-NodeData!$D12)^2+(NodeData!$E20-NodeData!$E12)^2)/UAV_Params!$B$8+ABS(NodeData!$F20-NodeData!$F12)/UAV_Params!$B$9,1))</f>
        <v>36.7</v>
      </c>
      <c r="L20" s="19">
        <f>IF($A20=L$3,0,ROUND(SQRT((NodeData!$D20-NodeData!$D13)^2+(NodeData!$E20-NodeData!$E13)^2)/UAV_Params!$B$8+ABS(NodeData!$F20-NodeData!$F13)/UAV_Params!$B$9,1))</f>
        <v>36.4</v>
      </c>
      <c r="M20" s="19">
        <f>IF($A20=M$3,0,ROUND(SQRT((NodeData!$D20-NodeData!$D14)^2+(NodeData!$E20-NodeData!$E14)^2)/UAV_Params!$B$8+ABS(NodeData!$F20-NodeData!$F14)/UAV_Params!$B$9,1))</f>
        <v>32.9</v>
      </c>
      <c r="N20" s="19">
        <f>IF($A20=N$3,0,ROUND(SQRT((NodeData!$D20-NodeData!$D15)^2+(NodeData!$E20-NodeData!$E15)^2)/UAV_Params!$B$8+ABS(NodeData!$F20-NodeData!$F15)/UAV_Params!$B$9,1))</f>
        <v>31.2</v>
      </c>
      <c r="O20" s="19">
        <f>IF($A20=O$3,0,ROUND(SQRT((NodeData!$D20-NodeData!$D16)^2+(NodeData!$E20-NodeData!$E16)^2)/UAV_Params!$B$8+ABS(NodeData!$F20-NodeData!$F16)/UAV_Params!$B$9,1))</f>
        <v>34</v>
      </c>
      <c r="P20" s="19">
        <f>IF($A20=P$3,0,ROUND(SQRT((NodeData!$D20-NodeData!$D17)^2+(NodeData!$E20-NodeData!$E17)^2)/UAV_Params!$B$8+ABS(NodeData!$F20-NodeData!$F17)/UAV_Params!$B$9,1))</f>
        <v>13.9</v>
      </c>
      <c r="Q20" s="19">
        <f>IF($A20=Q$3,0,ROUND(SQRT((NodeData!$D20-NodeData!$D18)^2+(NodeData!$E20-NodeData!$E18)^2)/UAV_Params!$B$8+ABS(NodeData!$F20-NodeData!$F18)/UAV_Params!$B$9,1))</f>
        <v>14.1</v>
      </c>
      <c r="R20" s="19">
        <f>IF($A20=R$3,0,ROUND(SQRT((NodeData!$D20-NodeData!$D19)^2+(NodeData!$E20-NodeData!$E19)^2)/UAV_Params!$B$8+ABS(NodeData!$F20-NodeData!$F19)/UAV_Params!$B$9,1))</f>
        <v>4.5</v>
      </c>
      <c r="S20" s="19">
        <f>IF($A20=S$3,0,ROUND(SQRT((NodeData!$D20-NodeData!$D20)^2+(NodeData!$E20-NodeData!$E20)^2)/UAV_Params!$B$8+ABS(NodeData!$F20-NodeData!$F20)/UAV_Params!$B$9,1))</f>
        <v>0</v>
      </c>
    </row>
  </sheetData>
  <mergeCells count="1">
    <mergeCell ref="A1:S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A1" sqref="A1:S1"/>
    </sheetView>
  </sheetViews>
  <sheetFormatPr defaultColWidth="8.68181818181818" defaultRowHeight="15" customHeight="1"/>
  <cols>
    <col min="1" max="1" width="12" style="1" customWidth="1"/>
    <col min="2" max="2" width="24" style="1" customWidth="1"/>
    <col min="3" max="19" width="8" style="1" customWidth="1"/>
  </cols>
  <sheetData>
    <row r="1" ht="15.75" customHeight="1" spans="1:19">
      <c r="A1" s="6" t="s">
        <v>188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customHeight="1" spans="1:19">
      <c r="A3" s="13" t="s">
        <v>186</v>
      </c>
      <c r="B3" s="13" t="s">
        <v>187</v>
      </c>
      <c r="C3" s="7">
        <v>0</v>
      </c>
      <c r="D3" s="7">
        <v>1</v>
      </c>
      <c r="E3" s="7">
        <v>2</v>
      </c>
      <c r="F3" s="7">
        <v>3</v>
      </c>
      <c r="G3" s="7">
        <v>4</v>
      </c>
      <c r="H3" s="7">
        <v>5</v>
      </c>
      <c r="I3" s="7">
        <v>6</v>
      </c>
      <c r="J3" s="7">
        <v>7</v>
      </c>
      <c r="K3" s="7">
        <v>8</v>
      </c>
      <c r="L3" s="7">
        <v>9</v>
      </c>
      <c r="M3" s="7">
        <v>10</v>
      </c>
      <c r="N3" s="7">
        <v>11</v>
      </c>
      <c r="O3" s="7">
        <v>12</v>
      </c>
      <c r="P3" s="7">
        <v>13</v>
      </c>
      <c r="Q3" s="7">
        <v>14</v>
      </c>
      <c r="R3" s="7">
        <v>15</v>
      </c>
      <c r="S3" s="7">
        <v>16</v>
      </c>
    </row>
    <row r="4" customHeight="1" spans="1:19">
      <c r="A4" s="18">
        <v>0</v>
      </c>
      <c r="B4" s="15" t="s">
        <v>90</v>
      </c>
      <c r="C4" s="16">
        <f>IF($A4=C$3,0,ROUND(SQRT((NodeData!$D4-NodeData!$D4)^2+(NodeData!$E4-NodeData!$E4)^2)*UAV_Params!$B$10+IF(NodeData!$F4&gt;=NodeData!$F4,(NodeData!$F4-NodeData!$F4)*UAV_Params!$B$11,(NodeData!$F4-NodeData!$F4)*UAV_Params!$B$12),0))</f>
        <v>0</v>
      </c>
      <c r="D4" s="16">
        <f>IF($A4=D$3,0,ROUND(SQRT((NodeData!$D4-NodeData!$D5)^2+(NodeData!$E4-NodeData!$E5)^2)*UAV_Params!$B$10+IF(NodeData!$F5&gt;=NodeData!$F4,(NodeData!$F5-NodeData!$F4)*UAV_Params!$B$11,(NodeData!$F4-NodeData!$F5)*UAV_Params!$B$12),0))</f>
        <v>3289</v>
      </c>
      <c r="E4" s="16">
        <f>IF($A4=E$3,0,ROUND(SQRT((NodeData!$D4-NodeData!$D6)^2+(NodeData!$E4-NodeData!$E6)^2)*UAV_Params!$B$10+IF(NodeData!$F6&gt;=NodeData!$F4,(NodeData!$F6-NodeData!$F4)*UAV_Params!$B$11,(NodeData!$F4-NodeData!$F6)*UAV_Params!$B$12),0))</f>
        <v>3329</v>
      </c>
      <c r="F4" s="16">
        <f>IF($A4=F$3,0,ROUND(SQRT((NodeData!$D4-NodeData!$D7)^2+(NodeData!$E4-NodeData!$E7)^2)*UAV_Params!$B$10+IF(NodeData!$F7&gt;=NodeData!$F4,(NodeData!$F7-NodeData!$F4)*UAV_Params!$B$11,(NodeData!$F4-NodeData!$F7)*UAV_Params!$B$12),0))</f>
        <v>3051</v>
      </c>
      <c r="G4" s="16">
        <f>IF($A4=G$3,0,ROUND(SQRT((NodeData!$D4-NodeData!$D8)^2+(NodeData!$E4-NodeData!$E8)^2)*UAV_Params!$B$10+IF(NodeData!$F8&gt;=NodeData!$F4,(NodeData!$F8-NodeData!$F4)*UAV_Params!$B$11,(NodeData!$F4-NodeData!$F8)*UAV_Params!$B$12),0))</f>
        <v>3298</v>
      </c>
      <c r="H4" s="16">
        <f>IF($A4=H$3,0,ROUND(SQRT((NodeData!$D4-NodeData!$D9)^2+(NodeData!$E4-NodeData!$E9)^2)*UAV_Params!$B$10+IF(NodeData!$F9&gt;=NodeData!$F4,(NodeData!$F9-NodeData!$F4)*UAV_Params!$B$11,(NodeData!$F4-NodeData!$F9)*UAV_Params!$B$12),0))</f>
        <v>3545</v>
      </c>
      <c r="I4" s="16">
        <f>IF($A4=I$3,0,ROUND(SQRT((NodeData!$D4-NodeData!$D10)^2+(NodeData!$E4-NodeData!$E10)^2)*UAV_Params!$B$10+IF(NodeData!$F10&gt;=NodeData!$F4,(NodeData!$F10-NodeData!$F4)*UAV_Params!$B$11,(NodeData!$F4-NodeData!$F10)*UAV_Params!$B$12),0))</f>
        <v>3343</v>
      </c>
      <c r="J4" s="16">
        <f>IF($A4=J$3,0,ROUND(SQRT((NodeData!$D4-NodeData!$D11)^2+(NodeData!$E4-NodeData!$E11)^2)*UAV_Params!$B$10+IF(NodeData!$F11&gt;=NodeData!$F4,(NodeData!$F11-NodeData!$F4)*UAV_Params!$B$11,(NodeData!$F4-NodeData!$F11)*UAV_Params!$B$12),0))</f>
        <v>3957</v>
      </c>
      <c r="K4" s="16">
        <f>IF($A4=K$3,0,ROUND(SQRT((NodeData!$D4-NodeData!$D12)^2+(NodeData!$E4-NodeData!$E12)^2)*UAV_Params!$B$10+IF(NodeData!$F12&gt;=NodeData!$F4,(NodeData!$F12-NodeData!$F4)*UAV_Params!$B$11,(NodeData!$F4-NodeData!$F12)*UAV_Params!$B$12),0))</f>
        <v>4050</v>
      </c>
      <c r="L4" s="16">
        <f>IF($A4=L$3,0,ROUND(SQRT((NodeData!$D4-NodeData!$D13)^2+(NodeData!$E4-NodeData!$E13)^2)*UAV_Params!$B$10+IF(NodeData!$F13&gt;=NodeData!$F4,(NodeData!$F13-NodeData!$F4)*UAV_Params!$B$11,(NodeData!$F4-NodeData!$F13)*UAV_Params!$B$12),0))</f>
        <v>2635</v>
      </c>
      <c r="M4" s="16">
        <f>IF($A4=M$3,0,ROUND(SQRT((NodeData!$D4-NodeData!$D14)^2+(NodeData!$E4-NodeData!$E14)^2)*UAV_Params!$B$10+IF(NodeData!$F14&gt;=NodeData!$F4,(NodeData!$F14-NodeData!$F4)*UAV_Params!$B$11,(NodeData!$F4-NodeData!$F14)*UAV_Params!$B$12),0))</f>
        <v>2815</v>
      </c>
      <c r="N4" s="16">
        <f>IF($A4=N$3,0,ROUND(SQRT((NodeData!$D4-NodeData!$D15)^2+(NodeData!$E4-NodeData!$E15)^2)*UAV_Params!$B$10+IF(NodeData!$F15&gt;=NodeData!$F4,(NodeData!$F15-NodeData!$F4)*UAV_Params!$B$11,(NodeData!$F4-NodeData!$F15)*UAV_Params!$B$12),0))</f>
        <v>3469</v>
      </c>
      <c r="O4" s="16">
        <f>IF($A4=O$3,0,ROUND(SQRT((NodeData!$D4-NodeData!$D16)^2+(NodeData!$E4-NodeData!$E16)^2)*UAV_Params!$B$10+IF(NodeData!$F16&gt;=NodeData!$F4,(NodeData!$F16-NodeData!$F4)*UAV_Params!$B$11,(NodeData!$F4-NodeData!$F16)*UAV_Params!$B$12),0))</f>
        <v>2932</v>
      </c>
      <c r="P4" s="16">
        <f>IF($A4=P$3,0,ROUND(SQRT((NodeData!$D4-NodeData!$D17)^2+(NodeData!$E4-NodeData!$E17)^2)*UAV_Params!$B$10+IF(NodeData!$F17&gt;=NodeData!$F4,(NodeData!$F17-NodeData!$F4)*UAV_Params!$B$11,(NodeData!$F4-NodeData!$F17)*UAV_Params!$B$12),0))</f>
        <v>3109</v>
      </c>
      <c r="Q4" s="16">
        <f>IF($A4=Q$3,0,ROUND(SQRT((NodeData!$D4-NodeData!$D18)^2+(NodeData!$E4-NodeData!$E18)^2)*UAV_Params!$B$10+IF(NodeData!$F18&gt;=NodeData!$F4,(NodeData!$F18-NodeData!$F4)*UAV_Params!$B$11,(NodeData!$F4-NodeData!$F18)*UAV_Params!$B$12),0))</f>
        <v>3253</v>
      </c>
      <c r="R4" s="16">
        <f>IF($A4=R$3,0,ROUND(SQRT((NodeData!$D4-NodeData!$D19)^2+(NodeData!$E4-NodeData!$E19)^2)*UAV_Params!$B$10+IF(NodeData!$F19&gt;=NodeData!$F4,(NodeData!$F19-NodeData!$F4)*UAV_Params!$B$11,(NodeData!$F4-NodeData!$F19)*UAV_Params!$B$12),0))</f>
        <v>4804</v>
      </c>
      <c r="S4" s="16">
        <f>IF($A4=S$3,0,ROUND(SQRT((NodeData!$D4-NodeData!$D20)^2+(NodeData!$E4-NodeData!$E20)^2)*UAV_Params!$B$10+IF(NodeData!$F20&gt;=NodeData!$F4,(NodeData!$F20-NodeData!$F4)*UAV_Params!$B$11,(NodeData!$F4-NodeData!$F20)*UAV_Params!$B$12),0))</f>
        <v>5080</v>
      </c>
    </row>
    <row r="5" ht="16.5" customHeight="1" spans="1:19">
      <c r="A5" s="18">
        <v>1</v>
      </c>
      <c r="B5" s="17" t="s">
        <v>96</v>
      </c>
      <c r="C5" s="16">
        <f>IF($A5=C$3,0,ROUND(SQRT((NodeData!$D5-NodeData!$D4)^2+(NodeData!$E5-NodeData!$E4)^2)*UAV_Params!$B$10+IF(NodeData!$F4&gt;=NodeData!$F5,(NodeData!$F4-NodeData!$F5)*UAV_Params!$B$11,(NodeData!$F5-NodeData!$F4)*UAV_Params!$B$12),0))</f>
        <v>3091</v>
      </c>
      <c r="D5" s="16">
        <f>IF($A5=D$3,0,ROUND(SQRT((NodeData!$D5-NodeData!$D5)^2+(NodeData!$E5-NodeData!$E5)^2)*UAV_Params!$B$10+IF(NodeData!$F5&gt;=NodeData!$F5,(NodeData!$F5-NodeData!$F5)*UAV_Params!$B$11,(NodeData!$F5-NodeData!$F5)*UAV_Params!$B$12),0))</f>
        <v>0</v>
      </c>
      <c r="E5" s="16">
        <f>IF($A5=E$3,0,ROUND(SQRT((NodeData!$D5-NodeData!$D6)^2+(NodeData!$E5-NodeData!$E6)^2)*UAV_Params!$B$10+IF(NodeData!$F6&gt;=NodeData!$F5,(NodeData!$F6-NodeData!$F5)*UAV_Params!$B$11,(NodeData!$F5-NodeData!$F6)*UAV_Params!$B$12),0))</f>
        <v>583</v>
      </c>
      <c r="F5" s="16">
        <f>IF($A5=F$3,0,ROUND(SQRT((NodeData!$D5-NodeData!$D7)^2+(NodeData!$E5-NodeData!$E7)^2)*UAV_Params!$B$10+IF(NodeData!$F7&gt;=NodeData!$F5,(NodeData!$F7-NodeData!$F5)*UAV_Params!$B$11,(NodeData!$F5-NodeData!$F7)*UAV_Params!$B$12),0))</f>
        <v>524</v>
      </c>
      <c r="G5" s="16">
        <f>IF($A5=G$3,0,ROUND(SQRT((NodeData!$D5-NodeData!$D8)^2+(NodeData!$E5-NodeData!$E8)^2)*UAV_Params!$B$10+IF(NodeData!$F8&gt;=NodeData!$F5,(NodeData!$F8-NodeData!$F5)*UAV_Params!$B$11,(NodeData!$F5-NodeData!$F8)*UAV_Params!$B$12),0))</f>
        <v>1757</v>
      </c>
      <c r="H5" s="16">
        <f>IF($A5=H$3,0,ROUND(SQRT((NodeData!$D5-NodeData!$D9)^2+(NodeData!$E5-NodeData!$E9)^2)*UAV_Params!$B$10+IF(NodeData!$F9&gt;=NodeData!$F5,(NodeData!$F9-NodeData!$F5)*UAV_Params!$B$11,(NodeData!$F5-NodeData!$F9)*UAV_Params!$B$12),0))</f>
        <v>1775</v>
      </c>
      <c r="I5" s="16">
        <f>IF($A5=I$3,0,ROUND(SQRT((NodeData!$D5-NodeData!$D10)^2+(NodeData!$E5-NodeData!$E10)^2)*UAV_Params!$B$10+IF(NodeData!$F10&gt;=NodeData!$F5,(NodeData!$F10-NodeData!$F5)*UAV_Params!$B$11,(NodeData!$F5-NodeData!$F10)*UAV_Params!$B$12),0))</f>
        <v>2061</v>
      </c>
      <c r="J5" s="16">
        <f>IF($A5=J$3,0,ROUND(SQRT((NodeData!$D5-NodeData!$D11)^2+(NodeData!$E5-NodeData!$E11)^2)*UAV_Params!$B$10+IF(NodeData!$F11&gt;=NodeData!$F5,(NodeData!$F11-NodeData!$F5)*UAV_Params!$B$11,(NodeData!$F5-NodeData!$F11)*UAV_Params!$B$12),0))</f>
        <v>3663</v>
      </c>
      <c r="K5" s="16">
        <f>IF($A5=K$3,0,ROUND(SQRT((NodeData!$D5-NodeData!$D12)^2+(NodeData!$E5-NodeData!$E12)^2)*UAV_Params!$B$10+IF(NodeData!$F12&gt;=NodeData!$F5,(NodeData!$F12-NodeData!$F5)*UAV_Params!$B$11,(NodeData!$F5-NodeData!$F12)*UAV_Params!$B$12),0))</f>
        <v>3685</v>
      </c>
      <c r="L5" s="16">
        <f>IF($A5=L$3,0,ROUND(SQRT((NodeData!$D5-NodeData!$D13)^2+(NodeData!$E5-NodeData!$E13)^2)*UAV_Params!$B$10+IF(NodeData!$F13&gt;=NodeData!$F5,(NodeData!$F13-NodeData!$F5)*UAV_Params!$B$11,(NodeData!$F5-NodeData!$F13)*UAV_Params!$B$12),0))</f>
        <v>4629</v>
      </c>
      <c r="M5" s="16">
        <f>IF($A5=M$3,0,ROUND(SQRT((NodeData!$D5-NodeData!$D14)^2+(NodeData!$E5-NodeData!$E14)^2)*UAV_Params!$B$10+IF(NodeData!$F14&gt;=NodeData!$F5,(NodeData!$F14-NodeData!$F5)*UAV_Params!$B$11,(NodeData!$F5-NodeData!$F14)*UAV_Params!$B$12),0))</f>
        <v>4672</v>
      </c>
      <c r="N5" s="16">
        <f>IF($A5=N$3,0,ROUND(SQRT((NodeData!$D5-NodeData!$D15)^2+(NodeData!$E5-NodeData!$E15)^2)*UAV_Params!$B$10+IF(NodeData!$F15&gt;=NodeData!$F5,(NodeData!$F15-NodeData!$F5)*UAV_Params!$B$11,(NodeData!$F5-NodeData!$F15)*UAV_Params!$B$12),0))</f>
        <v>5928</v>
      </c>
      <c r="O5" s="16">
        <f>IF($A5=O$3,0,ROUND(SQRT((NodeData!$D5-NodeData!$D16)^2+(NodeData!$E5-NodeData!$E16)^2)*UAV_Params!$B$10+IF(NodeData!$F16&gt;=NodeData!$F5,(NodeData!$F16-NodeData!$F5)*UAV_Params!$B$11,(NodeData!$F5-NodeData!$F16)*UAV_Params!$B$12),0))</f>
        <v>5598</v>
      </c>
      <c r="P5" s="16">
        <f>IF($A5=P$3,0,ROUND(SQRT((NodeData!$D5-NodeData!$D17)^2+(NodeData!$E5-NodeData!$E17)^2)*UAV_Params!$B$10+IF(NodeData!$F17&gt;=NodeData!$F5,(NodeData!$F17-NodeData!$F5)*UAV_Params!$B$11,(NodeData!$F5-NodeData!$F17)*UAV_Params!$B$12),0))</f>
        <v>4441</v>
      </c>
      <c r="Q5" s="16">
        <f>IF($A5=Q$3,0,ROUND(SQRT((NodeData!$D5-NodeData!$D18)^2+(NodeData!$E5-NodeData!$E18)^2)*UAV_Params!$B$10+IF(NodeData!$F18&gt;=NodeData!$F5,(NodeData!$F18-NodeData!$F5)*UAV_Params!$B$11,(NodeData!$F5-NodeData!$F18)*UAV_Params!$B$12),0))</f>
        <v>4446</v>
      </c>
      <c r="R5" s="16">
        <f>IF($A5=R$3,0,ROUND(SQRT((NodeData!$D5-NodeData!$D19)^2+(NodeData!$E5-NodeData!$E19)^2)*UAV_Params!$B$10+IF(NodeData!$F19&gt;=NodeData!$F5,(NodeData!$F19-NodeData!$F5)*UAV_Params!$B$11,(NodeData!$F5-NodeData!$F19)*UAV_Params!$B$12),0))</f>
        <v>4981</v>
      </c>
      <c r="S5" s="16">
        <f>IF($A5=S$3,0,ROUND(SQRT((NodeData!$D5-NodeData!$D20)^2+(NodeData!$E5-NodeData!$E20)^2)*UAV_Params!$B$10+IF(NodeData!$F20&gt;=NodeData!$F5,(NodeData!$F20-NodeData!$F5)*UAV_Params!$B$11,(NodeData!$F5-NodeData!$F20)*UAV_Params!$B$12),0))</f>
        <v>5077</v>
      </c>
    </row>
    <row r="6" ht="16.5" customHeight="1" spans="1:19">
      <c r="A6" s="18">
        <v>2</v>
      </c>
      <c r="B6" s="17" t="s">
        <v>102</v>
      </c>
      <c r="C6" s="16">
        <f>IF($A6=C$3,0,ROUND(SQRT((NodeData!$D6-NodeData!$D4)^2+(NodeData!$E6-NodeData!$E4)^2)*UAV_Params!$B$10+IF(NodeData!$F4&gt;=NodeData!$F6,(NodeData!$F4-NodeData!$F6)*UAV_Params!$B$11,(NodeData!$F6-NodeData!$F4)*UAV_Params!$B$12),0))</f>
        <v>2988</v>
      </c>
      <c r="D6" s="16">
        <f>IF($A6=D$3,0,ROUND(SQRT((NodeData!$D6-NodeData!$D5)^2+(NodeData!$E6-NodeData!$E5)^2)*UAV_Params!$B$10+IF(NodeData!$F5&gt;=NodeData!$F6,(NodeData!$F5-NodeData!$F6)*UAV_Params!$B$11,(NodeData!$F6-NodeData!$F5)*UAV_Params!$B$12),0))</f>
        <v>440</v>
      </c>
      <c r="E6" s="16">
        <f>IF($A6=E$3,0,ROUND(SQRT((NodeData!$D6-NodeData!$D6)^2+(NodeData!$E6-NodeData!$E6)^2)*UAV_Params!$B$10+IF(NodeData!$F6&gt;=NodeData!$F6,(NodeData!$F6-NodeData!$F6)*UAV_Params!$B$11,(NodeData!$F6-NodeData!$F6)*UAV_Params!$B$12),0))</f>
        <v>0</v>
      </c>
      <c r="F6" s="16">
        <f>IF($A6=F$3,0,ROUND(SQRT((NodeData!$D6-NodeData!$D7)^2+(NodeData!$E6-NodeData!$E7)^2)*UAV_Params!$B$10+IF(NodeData!$F7&gt;=NodeData!$F6,(NodeData!$F7-NodeData!$F6)*UAV_Params!$B$11,(NodeData!$F6-NodeData!$F7)*UAV_Params!$B$12),0))</f>
        <v>305</v>
      </c>
      <c r="G6" s="16">
        <f>IF($A6=G$3,0,ROUND(SQRT((NodeData!$D6-NodeData!$D8)^2+(NodeData!$E6-NodeData!$E8)^2)*UAV_Params!$B$10+IF(NodeData!$F8&gt;=NodeData!$F6,(NodeData!$F8-NodeData!$F6)*UAV_Params!$B$11,(NodeData!$F6-NodeData!$F8)*UAV_Params!$B$12),0))</f>
        <v>1886</v>
      </c>
      <c r="H6" s="16">
        <f>IF($A6=H$3,0,ROUND(SQRT((NodeData!$D6-NodeData!$D9)^2+(NodeData!$E6-NodeData!$E9)^2)*UAV_Params!$B$10+IF(NodeData!$F9&gt;=NodeData!$F6,(NodeData!$F9-NodeData!$F6)*UAV_Params!$B$11,(NodeData!$F6-NodeData!$F9)*UAV_Params!$B$12),0))</f>
        <v>1522</v>
      </c>
      <c r="I6" s="16">
        <f>IF($A6=I$3,0,ROUND(SQRT((NodeData!$D6-NodeData!$D10)^2+(NodeData!$E6-NodeData!$E10)^2)*UAV_Params!$B$10+IF(NodeData!$F10&gt;=NodeData!$F6,(NodeData!$F10-NodeData!$F6)*UAV_Params!$B$11,(NodeData!$F6-NodeData!$F10)*UAV_Params!$B$12),0))</f>
        <v>2260</v>
      </c>
      <c r="J6" s="16">
        <f>IF($A6=J$3,0,ROUND(SQRT((NodeData!$D6-NodeData!$D11)^2+(NodeData!$E6-NodeData!$E11)^2)*UAV_Params!$B$10+IF(NodeData!$F11&gt;=NodeData!$F6,(NodeData!$F11-NodeData!$F6)*UAV_Params!$B$11,(NodeData!$F6-NodeData!$F11)*UAV_Params!$B$12),0))</f>
        <v>3672</v>
      </c>
      <c r="K6" s="16">
        <f>IF($A6=K$3,0,ROUND(SQRT((NodeData!$D6-NodeData!$D12)^2+(NodeData!$E6-NodeData!$E12)^2)*UAV_Params!$B$10+IF(NodeData!$F12&gt;=NodeData!$F6,(NodeData!$F12-NodeData!$F6)*UAV_Params!$B$11,(NodeData!$F6-NodeData!$F12)*UAV_Params!$B$12),0))</f>
        <v>3376</v>
      </c>
      <c r="L6" s="16">
        <f>IF($A6=L$3,0,ROUND(SQRT((NodeData!$D6-NodeData!$D13)^2+(NodeData!$E6-NodeData!$E13)^2)*UAV_Params!$B$10+IF(NodeData!$F13&gt;=NodeData!$F6,(NodeData!$F13-NodeData!$F6)*UAV_Params!$B$11,(NodeData!$F6-NodeData!$F13)*UAV_Params!$B$12),0))</f>
        <v>4589</v>
      </c>
      <c r="M6" s="16">
        <f>IF($A6=M$3,0,ROUND(SQRT((NodeData!$D6-NodeData!$D14)^2+(NodeData!$E6-NodeData!$E14)^2)*UAV_Params!$B$10+IF(NodeData!$F14&gt;=NodeData!$F6,(NodeData!$F14-NodeData!$F6)*UAV_Params!$B$11,(NodeData!$F6-NodeData!$F14)*UAV_Params!$B$12),0))</f>
        <v>4219</v>
      </c>
      <c r="N6" s="16">
        <f>IF($A6=N$3,0,ROUND(SQRT((NodeData!$D6-NodeData!$D15)^2+(NodeData!$E6-NodeData!$E15)^2)*UAV_Params!$B$10+IF(NodeData!$F15&gt;=NodeData!$F6,(NodeData!$F15-NodeData!$F6)*UAV_Params!$B$11,(NodeData!$F6-NodeData!$F15)*UAV_Params!$B$12),0))</f>
        <v>5582</v>
      </c>
      <c r="O6" s="16">
        <f>IF($A6=O$3,0,ROUND(SQRT((NodeData!$D6-NodeData!$D16)^2+(NodeData!$E6-NodeData!$E16)^2)*UAV_Params!$B$10+IF(NodeData!$F16&gt;=NodeData!$F6,(NodeData!$F16-NodeData!$F6)*UAV_Params!$B$11,(NodeData!$F6-NodeData!$F16)*UAV_Params!$B$12),0))</f>
        <v>5498</v>
      </c>
      <c r="P6" s="16">
        <f>IF($A6=P$3,0,ROUND(SQRT((NodeData!$D6-NodeData!$D17)^2+(NodeData!$E6-NodeData!$E17)^2)*UAV_Params!$B$10+IF(NodeData!$F17&gt;=NodeData!$F6,(NodeData!$F17-NodeData!$F6)*UAV_Params!$B$11,(NodeData!$F6-NodeData!$F17)*UAV_Params!$B$12),0))</f>
        <v>4110</v>
      </c>
      <c r="Q6" s="16">
        <f>IF($A6=Q$3,0,ROUND(SQRT((NodeData!$D6-NodeData!$D18)^2+(NodeData!$E6-NodeData!$E18)^2)*UAV_Params!$B$10+IF(NodeData!$F18&gt;=NodeData!$F6,(NodeData!$F18-NodeData!$F6)*UAV_Params!$B$11,(NodeData!$F6-NodeData!$F18)*UAV_Params!$B$12),0))</f>
        <v>4330</v>
      </c>
      <c r="R6" s="16">
        <f>IF($A6=R$3,0,ROUND(SQRT((NodeData!$D6-NodeData!$D19)^2+(NodeData!$E6-NodeData!$E19)^2)*UAV_Params!$B$10+IF(NodeData!$F19&gt;=NodeData!$F6,(NodeData!$F19-NodeData!$F6)*UAV_Params!$B$11,(NodeData!$F6-NodeData!$F19)*UAV_Params!$B$12),0))</f>
        <v>4778</v>
      </c>
      <c r="S6" s="16">
        <f>IF($A6=S$3,0,ROUND(SQRT((NodeData!$D6-NodeData!$D20)^2+(NodeData!$E6-NodeData!$E20)^2)*UAV_Params!$B$10+IF(NodeData!$F20&gt;=NodeData!$F6,(NodeData!$F20-NodeData!$F6)*UAV_Params!$B$11,(NodeData!$F6-NodeData!$F20)*UAV_Params!$B$12),0))</f>
        <v>4568</v>
      </c>
    </row>
    <row r="7" ht="16.5" customHeight="1" spans="1:19">
      <c r="A7" s="18">
        <v>3</v>
      </c>
      <c r="B7" s="17" t="s">
        <v>107</v>
      </c>
      <c r="C7" s="16">
        <f>IF($A7=C$3,0,ROUND(SQRT((NodeData!$D7-NodeData!$D4)^2+(NodeData!$E7-NodeData!$E4)^2)*UAV_Params!$B$10+IF(NodeData!$F4&gt;=NodeData!$F7,(NodeData!$F4-NodeData!$F7)*UAV_Params!$B$11,(NodeData!$F7-NodeData!$F4)*UAV_Params!$B$12),0))</f>
        <v>2787</v>
      </c>
      <c r="D7" s="16">
        <f>IF($A7=D$3,0,ROUND(SQRT((NodeData!$D7-NodeData!$D5)^2+(NodeData!$E7-NodeData!$E5)^2)*UAV_Params!$B$10+IF(NodeData!$F5&gt;=NodeData!$F7,(NodeData!$F5-NodeData!$F7)*UAV_Params!$B$11,(NodeData!$F7-NodeData!$F5)*UAV_Params!$B$12),0))</f>
        <v>458</v>
      </c>
      <c r="E7" s="16">
        <f>IF($A7=E$3,0,ROUND(SQRT((NodeData!$D7-NodeData!$D6)^2+(NodeData!$E7-NodeData!$E6)^2)*UAV_Params!$B$10+IF(NodeData!$F6&gt;=NodeData!$F7,(NodeData!$F6-NodeData!$F7)*UAV_Params!$B$11,(NodeData!$F7-NodeData!$F6)*UAV_Params!$B$12),0))</f>
        <v>382</v>
      </c>
      <c r="F7" s="16">
        <f>IF($A7=F$3,0,ROUND(SQRT((NodeData!$D7-NodeData!$D7)^2+(NodeData!$E7-NodeData!$E7)^2)*UAV_Params!$B$10+IF(NodeData!$F7&gt;=NodeData!$F7,(NodeData!$F7-NodeData!$F7)*UAV_Params!$B$11,(NodeData!$F7-NodeData!$F7)*UAV_Params!$B$12),0))</f>
        <v>0</v>
      </c>
      <c r="G7" s="16">
        <f>IF($A7=G$3,0,ROUND(SQRT((NodeData!$D7-NodeData!$D8)^2+(NodeData!$E7-NodeData!$E8)^2)*UAV_Params!$B$10+IF(NodeData!$F8&gt;=NodeData!$F7,(NodeData!$F8-NodeData!$F7)*UAV_Params!$B$11,(NodeData!$F7-NodeData!$F8)*UAV_Params!$B$12),0))</f>
        <v>1599</v>
      </c>
      <c r="H7" s="16">
        <f>IF($A7=H$3,0,ROUND(SQRT((NodeData!$D7-NodeData!$D9)^2+(NodeData!$E7-NodeData!$E9)^2)*UAV_Params!$B$10+IF(NodeData!$F9&gt;=NodeData!$F7,(NodeData!$F9-NodeData!$F7)*UAV_Params!$B$11,(NodeData!$F7-NodeData!$F9)*UAV_Params!$B$12),0))</f>
        <v>1484</v>
      </c>
      <c r="I7" s="16">
        <f>IF($A7=I$3,0,ROUND(SQRT((NodeData!$D7-NodeData!$D10)^2+(NodeData!$E7-NodeData!$E10)^2)*UAV_Params!$B$10+IF(NodeData!$F10&gt;=NodeData!$F7,(NodeData!$F10-NodeData!$F7)*UAV_Params!$B$11,(NodeData!$F7-NodeData!$F10)*UAV_Params!$B$12),0))</f>
        <v>1972</v>
      </c>
      <c r="J7" s="16">
        <f>IF($A7=J$3,0,ROUND(SQRT((NodeData!$D7-NodeData!$D11)^2+(NodeData!$E7-NodeData!$E11)^2)*UAV_Params!$B$10+IF(NodeData!$F11&gt;=NodeData!$F7,(NodeData!$F11-NodeData!$F7)*UAV_Params!$B$11,(NodeData!$F7-NodeData!$F11)*UAV_Params!$B$12),0))</f>
        <v>3370</v>
      </c>
      <c r="K7" s="16">
        <f>IF($A7=K$3,0,ROUND(SQRT((NodeData!$D7-NodeData!$D12)^2+(NodeData!$E7-NodeData!$E12)^2)*UAV_Params!$B$10+IF(NodeData!$F12&gt;=NodeData!$F7,(NodeData!$F12-NodeData!$F7)*UAV_Params!$B$11,(NodeData!$F7-NodeData!$F12)*UAV_Params!$B$12),0))</f>
        <v>3319</v>
      </c>
      <c r="L7" s="16">
        <f>IF($A7=L$3,0,ROUND(SQRT((NodeData!$D7-NodeData!$D13)^2+(NodeData!$E7-NodeData!$E13)^2)*UAV_Params!$B$10+IF(NodeData!$F13&gt;=NodeData!$F7,(NodeData!$F13-NodeData!$F7)*UAV_Params!$B$11,(NodeData!$F7-NodeData!$F13)*UAV_Params!$B$12),0))</f>
        <v>4322</v>
      </c>
      <c r="M7" s="16">
        <f>IF($A7=M$3,0,ROUND(SQRT((NodeData!$D7-NodeData!$D14)^2+(NodeData!$E7-NodeData!$E14)^2)*UAV_Params!$B$10+IF(NodeData!$F14&gt;=NodeData!$F7,(NodeData!$F14-NodeData!$F7)*UAV_Params!$B$11,(NodeData!$F7-NodeData!$F14)*UAV_Params!$B$12),0))</f>
        <v>4158</v>
      </c>
      <c r="N7" s="16">
        <f>IF($A7=N$3,0,ROUND(SQRT((NodeData!$D7-NodeData!$D15)^2+(NodeData!$E7-NodeData!$E15)^2)*UAV_Params!$B$10+IF(NodeData!$F15&gt;=NodeData!$F7,(NodeData!$F15-NodeData!$F7)*UAV_Params!$B$11,(NodeData!$F7-NodeData!$F15)*UAV_Params!$B$12),0))</f>
        <v>5411</v>
      </c>
      <c r="O7" s="16">
        <f>IF($A7=O$3,0,ROUND(SQRT((NodeData!$D7-NodeData!$D16)^2+(NodeData!$E7-NodeData!$E16)^2)*UAV_Params!$B$10+IF(NodeData!$F16&gt;=NodeData!$F7,(NodeData!$F16-NodeData!$F7)*UAV_Params!$B$11,(NodeData!$F7-NodeData!$F16)*UAV_Params!$B$12),0))</f>
        <v>5289</v>
      </c>
      <c r="P7" s="16">
        <f>IF($A7=P$3,0,ROUND(SQRT((NodeData!$D7-NodeData!$D17)^2+(NodeData!$E7-NodeData!$E17)^2)*UAV_Params!$B$10+IF(NodeData!$F17&gt;=NodeData!$F7,(NodeData!$F17-NodeData!$F7)*UAV_Params!$B$11,(NodeData!$F7-NodeData!$F17)*UAV_Params!$B$12),0))</f>
        <v>4049</v>
      </c>
      <c r="Q7" s="16">
        <f>IF($A7=Q$3,0,ROUND(SQRT((NodeData!$D7-NodeData!$D18)^2+(NodeData!$E7-NodeData!$E18)^2)*UAV_Params!$B$10+IF(NodeData!$F18&gt;=NodeData!$F7,(NodeData!$F18-NodeData!$F7)*UAV_Params!$B$11,(NodeData!$F7-NodeData!$F18)*UAV_Params!$B$12),0))</f>
        <v>4283</v>
      </c>
      <c r="R7" s="16">
        <f>IF($A7=R$3,0,ROUND(SQRT((NodeData!$D7-NodeData!$D19)^2+(NodeData!$E7-NodeData!$E19)^2)*UAV_Params!$B$10+IF(NodeData!$F19&gt;=NodeData!$F7,(NodeData!$F19-NodeData!$F7)*UAV_Params!$B$11,(NodeData!$F7-NodeData!$F19)*UAV_Params!$B$12),0))</f>
        <v>4813</v>
      </c>
      <c r="S7" s="16">
        <f>IF($A7=S$3,0,ROUND(SQRT((NodeData!$D7-NodeData!$D20)^2+(NodeData!$E7-NodeData!$E20)^2)*UAV_Params!$B$10+IF(NodeData!$F20&gt;=NodeData!$F7,(NodeData!$F20-NodeData!$F7)*UAV_Params!$B$11,(NodeData!$F7-NodeData!$F20)*UAV_Params!$B$12),0))</f>
        <v>4858</v>
      </c>
    </row>
    <row r="8" ht="16.5" customHeight="1" spans="1:19">
      <c r="A8" s="18">
        <v>4</v>
      </c>
      <c r="B8" s="17" t="s">
        <v>112</v>
      </c>
      <c r="C8" s="16">
        <f>IF($A8=C$3,0,ROUND(SQRT((NodeData!$D8-NodeData!$D4)^2+(NodeData!$E8-NodeData!$E4)^2)*UAV_Params!$B$10+IF(NodeData!$F4&gt;=NodeData!$F8,(NodeData!$F4-NodeData!$F8)*UAV_Params!$B$11,(NodeData!$F8-NodeData!$F4)*UAV_Params!$B$12),0))</f>
        <v>3078</v>
      </c>
      <c r="D8" s="16">
        <f>IF($A8=D$3,0,ROUND(SQRT((NodeData!$D8-NodeData!$D5)^2+(NodeData!$E8-NodeData!$E5)^2)*UAV_Params!$B$10+IF(NodeData!$F5&gt;=NodeData!$F8,(NodeData!$F5-NodeData!$F8)*UAV_Params!$B$11,(NodeData!$F8-NodeData!$F5)*UAV_Params!$B$12),0))</f>
        <v>1735</v>
      </c>
      <c r="E8" s="16">
        <f>IF($A8=E$3,0,ROUND(SQRT((NodeData!$D8-NodeData!$D6)^2+(NodeData!$E8-NodeData!$E6)^2)*UAV_Params!$B$10+IF(NodeData!$F6&gt;=NodeData!$F8,(NodeData!$F6-NodeData!$F8)*UAV_Params!$B$11,(NodeData!$F8-NodeData!$F6)*UAV_Params!$B$12),0))</f>
        <v>2007</v>
      </c>
      <c r="F8" s="16">
        <f>IF($A8=F$3,0,ROUND(SQRT((NodeData!$D8-NodeData!$D7)^2+(NodeData!$E8-NodeData!$E7)^2)*UAV_Params!$B$10+IF(NodeData!$F7&gt;=NodeData!$F8,(NodeData!$F7-NodeData!$F8)*UAV_Params!$B$11,(NodeData!$F8-NodeData!$F7)*UAV_Params!$B$12),0))</f>
        <v>1643</v>
      </c>
      <c r="G8" s="16">
        <f>IF($A8=G$3,0,ROUND(SQRT((NodeData!$D8-NodeData!$D8)^2+(NodeData!$E8-NodeData!$E8)^2)*UAV_Params!$B$10+IF(NodeData!$F8&gt;=NodeData!$F8,(NodeData!$F8-NodeData!$F8)*UAV_Params!$B$11,(NodeData!$F8-NodeData!$F8)*UAV_Params!$B$12),0))</f>
        <v>0</v>
      </c>
      <c r="H8" s="16">
        <f>IF($A8=H$3,0,ROUND(SQRT((NodeData!$D8-NodeData!$D9)^2+(NodeData!$E8-NodeData!$E9)^2)*UAV_Params!$B$10+IF(NodeData!$F9&gt;=NodeData!$F8,(NodeData!$F9-NodeData!$F8)*UAV_Params!$B$11,(NodeData!$F8-NodeData!$F9)*UAV_Params!$B$12),0))</f>
        <v>626</v>
      </c>
      <c r="I8" s="16">
        <f>IF($A8=I$3,0,ROUND(SQRT((NodeData!$D8-NodeData!$D10)^2+(NodeData!$E8-NodeData!$E10)^2)*UAV_Params!$B$10+IF(NodeData!$F10&gt;=NodeData!$F8,(NodeData!$F10-NodeData!$F8)*UAV_Params!$B$11,(NodeData!$F8-NodeData!$F10)*UAV_Params!$B$12),0))</f>
        <v>375</v>
      </c>
      <c r="J8" s="16">
        <f>IF($A8=J$3,0,ROUND(SQRT((NodeData!$D8-NodeData!$D11)^2+(NodeData!$E8-NodeData!$E11)^2)*UAV_Params!$B$10+IF(NodeData!$F11&gt;=NodeData!$F8,(NodeData!$F11-NodeData!$F8)*UAV_Params!$B$11,(NodeData!$F8-NodeData!$F11)*UAV_Params!$B$12),0))</f>
        <v>1936</v>
      </c>
      <c r="K8" s="16">
        <f>IF($A8=K$3,0,ROUND(SQRT((NodeData!$D8-NodeData!$D12)^2+(NodeData!$E8-NodeData!$E12)^2)*UAV_Params!$B$10+IF(NodeData!$F12&gt;=NodeData!$F8,(NodeData!$F12-NodeData!$F8)*UAV_Params!$B$11,(NodeData!$F8-NodeData!$F12)*UAV_Params!$B$12),0))</f>
        <v>1967</v>
      </c>
      <c r="L8" s="16">
        <f>IF($A8=L$3,0,ROUND(SQRT((NodeData!$D8-NodeData!$D13)^2+(NodeData!$E8-NodeData!$E13)^2)*UAV_Params!$B$10+IF(NodeData!$F13&gt;=NodeData!$F8,(NodeData!$F13-NodeData!$F8)*UAV_Params!$B$11,(NodeData!$F8-NodeData!$F13)*UAV_Params!$B$12),0))</f>
        <v>3761</v>
      </c>
      <c r="M8" s="16">
        <f>IF($A8=M$3,0,ROUND(SQRT((NodeData!$D8-NodeData!$D14)^2+(NodeData!$E8-NodeData!$E14)^2)*UAV_Params!$B$10+IF(NodeData!$F14&gt;=NodeData!$F8,(NodeData!$F14-NodeData!$F8)*UAV_Params!$B$11,(NodeData!$F8-NodeData!$F14)*UAV_Params!$B$12),0))</f>
        <v>3701</v>
      </c>
      <c r="N8" s="16">
        <f>IF($A8=N$3,0,ROUND(SQRT((NodeData!$D8-NodeData!$D15)^2+(NodeData!$E8-NodeData!$E15)^2)*UAV_Params!$B$10+IF(NodeData!$F15&gt;=NodeData!$F8,(NodeData!$F15-NodeData!$F8)*UAV_Params!$B$11,(NodeData!$F8-NodeData!$F15)*UAV_Params!$B$12),0))</f>
        <v>5534</v>
      </c>
      <c r="O8" s="16">
        <f>IF($A8=O$3,0,ROUND(SQRT((NodeData!$D8-NodeData!$D16)^2+(NodeData!$E8-NodeData!$E16)^2)*UAV_Params!$B$10+IF(NodeData!$F16&gt;=NodeData!$F8,(NodeData!$F16-NodeData!$F8)*UAV_Params!$B$11,(NodeData!$F8-NodeData!$F16)*UAV_Params!$B$12),0))</f>
        <v>5257</v>
      </c>
      <c r="P8" s="16">
        <f>IF($A8=P$3,0,ROUND(SQRT((NodeData!$D8-NodeData!$D17)^2+(NodeData!$E8-NodeData!$E17)^2)*UAV_Params!$B$10+IF(NodeData!$F17&gt;=NodeData!$F8,(NodeData!$F17-NodeData!$F8)*UAV_Params!$B$11,(NodeData!$F8-NodeData!$F17)*UAV_Params!$B$12),0))</f>
        <v>5154</v>
      </c>
      <c r="Q8" s="16">
        <f>IF($A8=Q$3,0,ROUND(SQRT((NodeData!$D8-NodeData!$D18)^2+(NodeData!$E8-NodeData!$E18)^2)*UAV_Params!$B$10+IF(NodeData!$F18&gt;=NodeData!$F8,(NodeData!$F18-NodeData!$F8)*UAV_Params!$B$11,(NodeData!$F8-NodeData!$F18)*UAV_Params!$B$12),0))</f>
        <v>5307</v>
      </c>
      <c r="R8" s="16">
        <f>IF($A8=R$3,0,ROUND(SQRT((NodeData!$D8-NodeData!$D19)^2+(NodeData!$E8-NodeData!$E19)^2)*UAV_Params!$B$10+IF(NodeData!$F19&gt;=NodeData!$F8,(NodeData!$F19-NodeData!$F8)*UAV_Params!$B$11,(NodeData!$F8-NodeData!$F19)*UAV_Params!$B$12),0))</f>
        <v>6217</v>
      </c>
      <c r="S8" s="16">
        <f>IF($A8=S$3,0,ROUND(SQRT((NodeData!$D8-NodeData!$D20)^2+(NodeData!$E8-NodeData!$E20)^2)*UAV_Params!$B$10+IF(NodeData!$F20&gt;=NodeData!$F8,(NodeData!$F20-NodeData!$F8)*UAV_Params!$B$11,(NodeData!$F8-NodeData!$F20)*UAV_Params!$B$12),0))</f>
        <v>6366</v>
      </c>
    </row>
    <row r="9" ht="16.5" customHeight="1" spans="1:19">
      <c r="A9" s="18">
        <v>5</v>
      </c>
      <c r="B9" s="17" t="s">
        <v>117</v>
      </c>
      <c r="C9" s="16">
        <f>IF($A9=C$3,0,ROUND(SQRT((NodeData!$D9-NodeData!$D4)^2+(NodeData!$E9-NodeData!$E4)^2)*UAV_Params!$B$10+IF(NodeData!$F4&gt;=NodeData!$F9,(NodeData!$F4-NodeData!$F9)*UAV_Params!$B$11,(NodeData!$F9-NodeData!$F4)*UAV_Params!$B$12),0))</f>
        <v>3171</v>
      </c>
      <c r="D9" s="16">
        <f>IF($A9=D$3,0,ROUND(SQRT((NodeData!$D9-NodeData!$D5)^2+(NodeData!$E9-NodeData!$E5)^2)*UAV_Params!$B$10+IF(NodeData!$F5&gt;=NodeData!$F9,(NodeData!$F5-NodeData!$F9)*UAV_Params!$B$11,(NodeData!$F9-NodeData!$F5)*UAV_Params!$B$12),0))</f>
        <v>1599</v>
      </c>
      <c r="E9" s="16">
        <f>IF($A9=E$3,0,ROUND(SQRT((NodeData!$D9-NodeData!$D6)^2+(NodeData!$E9-NodeData!$E6)^2)*UAV_Params!$B$10+IF(NodeData!$F6&gt;=NodeData!$F9,(NodeData!$F6-NodeData!$F9)*UAV_Params!$B$11,(NodeData!$F9-NodeData!$F6)*UAV_Params!$B$12),0))</f>
        <v>1489</v>
      </c>
      <c r="F9" s="16">
        <f>IF($A9=F$3,0,ROUND(SQRT((NodeData!$D9-NodeData!$D7)^2+(NodeData!$E9-NodeData!$E7)^2)*UAV_Params!$B$10+IF(NodeData!$F7&gt;=NodeData!$F9,(NodeData!$F7-NodeData!$F9)*UAV_Params!$B$11,(NodeData!$F9-NodeData!$F7)*UAV_Params!$B$12),0))</f>
        <v>1374</v>
      </c>
      <c r="G9" s="16">
        <f>IF($A9=G$3,0,ROUND(SQRT((NodeData!$D9-NodeData!$D8)^2+(NodeData!$E9-NodeData!$E8)^2)*UAV_Params!$B$10+IF(NodeData!$F8&gt;=NodeData!$F9,(NodeData!$F8-NodeData!$F9)*UAV_Params!$B$11,(NodeData!$F9-NodeData!$F8)*UAV_Params!$B$12),0))</f>
        <v>472</v>
      </c>
      <c r="H9" s="16">
        <f>IF($A9=H$3,0,ROUND(SQRT((NodeData!$D9-NodeData!$D9)^2+(NodeData!$E9-NodeData!$E9)^2)*UAV_Params!$B$10+IF(NodeData!$F9&gt;=NodeData!$F9,(NodeData!$F9-NodeData!$F9)*UAV_Params!$B$11,(NodeData!$F9-NodeData!$F9)*UAV_Params!$B$12),0))</f>
        <v>0</v>
      </c>
      <c r="I9" s="16">
        <f>IF($A9=I$3,0,ROUND(SQRT((NodeData!$D9-NodeData!$D10)^2+(NodeData!$E9-NodeData!$E10)^2)*UAV_Params!$B$10+IF(NodeData!$F10&gt;=NodeData!$F9,(NodeData!$F10-NodeData!$F9)*UAV_Params!$B$11,(NodeData!$F9-NodeData!$F10)*UAV_Params!$B$12),0))</f>
        <v>846</v>
      </c>
      <c r="J9" s="16">
        <f>IF($A9=J$3,0,ROUND(SQRT((NodeData!$D9-NodeData!$D11)^2+(NodeData!$E9-NodeData!$E11)^2)*UAV_Params!$B$10+IF(NodeData!$F11&gt;=NodeData!$F9,(NodeData!$F11-NodeData!$F9)*UAV_Params!$B$11,(NodeData!$F9-NodeData!$F11)*UAV_Params!$B$12),0))</f>
        <v>2328</v>
      </c>
      <c r="K9" s="16">
        <f>IF($A9=K$3,0,ROUND(SQRT((NodeData!$D9-NodeData!$D12)^2+(NodeData!$E9-NodeData!$E12)^2)*UAV_Params!$B$10+IF(NodeData!$F12&gt;=NodeData!$F9,(NodeData!$F12-NodeData!$F9)*UAV_Params!$B$11,(NodeData!$F9-NodeData!$F12)*UAV_Params!$B$12),0))</f>
        <v>1936</v>
      </c>
      <c r="L9" s="16">
        <f>IF($A9=L$3,0,ROUND(SQRT((NodeData!$D9-NodeData!$D13)^2+(NodeData!$E9-NodeData!$E13)^2)*UAV_Params!$B$10+IF(NodeData!$F13&gt;=NodeData!$F9,(NodeData!$F13-NodeData!$F9)*UAV_Params!$B$11,(NodeData!$F9-NodeData!$F13)*UAV_Params!$B$12),0))</f>
        <v>4042</v>
      </c>
      <c r="M9" s="16">
        <f>IF($A9=M$3,0,ROUND(SQRT((NodeData!$D9-NodeData!$D14)^2+(NodeData!$E9-NodeData!$E14)^2)*UAV_Params!$B$10+IF(NodeData!$F14&gt;=NodeData!$F9,(NodeData!$F14-NodeData!$F9)*UAV_Params!$B$11,(NodeData!$F9-NodeData!$F14)*UAV_Params!$B$12),0))</f>
        <v>3637</v>
      </c>
      <c r="N9" s="16">
        <f>IF($A9=N$3,0,ROUND(SQRT((NodeData!$D9-NodeData!$D15)^2+(NodeData!$E9-NodeData!$E15)^2)*UAV_Params!$B$10+IF(NodeData!$F15&gt;=NodeData!$F9,(NodeData!$F15-NodeData!$F9)*UAV_Params!$B$11,(NodeData!$F9-NodeData!$F15)*UAV_Params!$B$12),0))</f>
        <v>5545</v>
      </c>
      <c r="O9" s="16">
        <f>IF($A9=O$3,0,ROUND(SQRT((NodeData!$D9-NodeData!$D16)^2+(NodeData!$E9-NodeData!$E16)^2)*UAV_Params!$B$10+IF(NodeData!$F16&gt;=NodeData!$F9,(NodeData!$F16-NodeData!$F9)*UAV_Params!$B$11,(NodeData!$F9-NodeData!$F16)*UAV_Params!$B$12),0))</f>
        <v>5445</v>
      </c>
      <c r="P9" s="16">
        <f>IF($A9=P$3,0,ROUND(SQRT((NodeData!$D9-NodeData!$D17)^2+(NodeData!$E9-NodeData!$E17)^2)*UAV_Params!$B$10+IF(NodeData!$F17&gt;=NodeData!$F9,(NodeData!$F17-NodeData!$F9)*UAV_Params!$B$11,(NodeData!$F9-NodeData!$F17)*UAV_Params!$B$12),0))</f>
        <v>5007</v>
      </c>
      <c r="Q9" s="16">
        <f>IF($A9=Q$3,0,ROUND(SQRT((NodeData!$D9-NodeData!$D18)^2+(NodeData!$E9-NodeData!$E18)^2)*UAV_Params!$B$10+IF(NodeData!$F18&gt;=NodeData!$F9,(NodeData!$F18-NodeData!$F9)*UAV_Params!$B$11,(NodeData!$F9-NodeData!$F18)*UAV_Params!$B$12),0))</f>
        <v>5289</v>
      </c>
      <c r="R9" s="16">
        <f>IF($A9=R$3,0,ROUND(SQRT((NodeData!$D9-NodeData!$D19)^2+(NodeData!$E9-NodeData!$E19)^2)*UAV_Params!$B$10+IF(NodeData!$F19&gt;=NodeData!$F9,(NodeData!$F19-NodeData!$F9)*UAV_Params!$B$11,(NodeData!$F9-NodeData!$F19)*UAV_Params!$B$12),0))</f>
        <v>6068</v>
      </c>
      <c r="S9" s="16">
        <f>IF($A9=S$3,0,ROUND(SQRT((NodeData!$D9-NodeData!$D20)^2+(NodeData!$E9-NodeData!$E20)^2)*UAV_Params!$B$10+IF(NodeData!$F20&gt;=NodeData!$F9,(NodeData!$F20-NodeData!$F9)*UAV_Params!$B$11,(NodeData!$F9-NodeData!$F20)*UAV_Params!$B$12),0))</f>
        <v>5789</v>
      </c>
    </row>
    <row r="10" ht="16.5" customHeight="1" spans="1:19">
      <c r="A10" s="18">
        <v>6</v>
      </c>
      <c r="B10" s="17" t="s">
        <v>120</v>
      </c>
      <c r="C10" s="16">
        <f>IF($A10=C$3,0,ROUND(SQRT((NodeData!$D10-NodeData!$D4)^2+(NodeData!$E10-NodeData!$E4)^2)*UAV_Params!$B$10+IF(NodeData!$F4&gt;=NodeData!$F10,(NodeData!$F4-NodeData!$F10)*UAV_Params!$B$11,(NodeData!$F10-NodeData!$F4)*UAV_Params!$B$12),0))</f>
        <v>3167</v>
      </c>
      <c r="D10" s="16">
        <f>IF($A10=D$3,0,ROUND(SQRT((NodeData!$D10-NodeData!$D5)^2+(NodeData!$E10-NodeData!$E5)^2)*UAV_Params!$B$10+IF(NodeData!$F5&gt;=NodeData!$F10,(NodeData!$F5-NodeData!$F10)*UAV_Params!$B$11,(NodeData!$F10-NodeData!$F5)*UAV_Params!$B$12),0))</f>
        <v>2083</v>
      </c>
      <c r="E10" s="16">
        <f>IF($A10=E$3,0,ROUND(SQRT((NodeData!$D10-NodeData!$D6)^2+(NodeData!$E10-NodeData!$E6)^2)*UAV_Params!$B$10+IF(NodeData!$F6&gt;=NodeData!$F10,(NodeData!$F6-NodeData!$F10)*UAV_Params!$B$11,(NodeData!$F10-NodeData!$F6)*UAV_Params!$B$12),0))</f>
        <v>2425</v>
      </c>
      <c r="F10" s="16">
        <f>IF($A10=F$3,0,ROUND(SQRT((NodeData!$D10-NodeData!$D7)^2+(NodeData!$E10-NodeData!$E7)^2)*UAV_Params!$B$10+IF(NodeData!$F7&gt;=NodeData!$F10,(NodeData!$F7-NodeData!$F10)*UAV_Params!$B$11,(NodeData!$F10-NodeData!$F7)*UAV_Params!$B$12),0))</f>
        <v>2060</v>
      </c>
      <c r="G10" s="16">
        <f>IF($A10=G$3,0,ROUND(SQRT((NodeData!$D10-NodeData!$D8)^2+(NodeData!$E10-NodeData!$E8)^2)*UAV_Params!$B$10+IF(NodeData!$F8&gt;=NodeData!$F10,(NodeData!$F8-NodeData!$F10)*UAV_Params!$B$11,(NodeData!$F10-NodeData!$F8)*UAV_Params!$B$12),0))</f>
        <v>419</v>
      </c>
      <c r="H10" s="16">
        <f>IF($A10=H$3,0,ROUND(SQRT((NodeData!$D10-NodeData!$D9)^2+(NodeData!$E10-NodeData!$E9)^2)*UAV_Params!$B$10+IF(NodeData!$F9&gt;=NodeData!$F10,(NodeData!$F9-NodeData!$F10)*UAV_Params!$B$11,(NodeData!$F10-NodeData!$F9)*UAV_Params!$B$12),0))</f>
        <v>1044</v>
      </c>
      <c r="I10" s="16">
        <f>IF($A10=I$3,0,ROUND(SQRT((NodeData!$D10-NodeData!$D10)^2+(NodeData!$E10-NodeData!$E10)^2)*UAV_Params!$B$10+IF(NodeData!$F10&gt;=NodeData!$F10,(NodeData!$F10-NodeData!$F10)*UAV_Params!$B$11,(NodeData!$F10-NodeData!$F10)*UAV_Params!$B$12),0))</f>
        <v>0</v>
      </c>
      <c r="J10" s="16">
        <f>IF($A10=J$3,0,ROUND(SQRT((NodeData!$D10-NodeData!$D11)^2+(NodeData!$E10-NodeData!$E11)^2)*UAV_Params!$B$10+IF(NodeData!$F11&gt;=NodeData!$F10,(NodeData!$F11-NodeData!$F10)*UAV_Params!$B$11,(NodeData!$F10-NodeData!$F11)*UAV_Params!$B$12),0))</f>
        <v>1725</v>
      </c>
      <c r="K10" s="16">
        <f>IF($A10=K$3,0,ROUND(SQRT((NodeData!$D10-NodeData!$D12)^2+(NodeData!$E10-NodeData!$E12)^2)*UAV_Params!$B$10+IF(NodeData!$F12&gt;=NodeData!$F10,(NodeData!$F12-NodeData!$F10)*UAV_Params!$B$11,(NodeData!$F10-NodeData!$F12)*UAV_Params!$B$12),0))</f>
        <v>1765</v>
      </c>
      <c r="L10" s="16">
        <f>IF($A10=L$3,0,ROUND(SQRT((NodeData!$D10-NodeData!$D13)^2+(NodeData!$E10-NodeData!$E13)^2)*UAV_Params!$B$10+IF(NodeData!$F13&gt;=NodeData!$F10,(NodeData!$F13-NodeData!$F10)*UAV_Params!$B$11,(NodeData!$F10-NodeData!$F13)*UAV_Params!$B$12),0))</f>
        <v>3675</v>
      </c>
      <c r="M10" s="16">
        <f>IF($A10=M$3,0,ROUND(SQRT((NodeData!$D10-NodeData!$D14)^2+(NodeData!$E10-NodeData!$E14)^2)*UAV_Params!$B$10+IF(NodeData!$F14&gt;=NodeData!$F10,(NodeData!$F14-NodeData!$F10)*UAV_Params!$B$11,(NodeData!$F10-NodeData!$F14)*UAV_Params!$B$12),0))</f>
        <v>3718</v>
      </c>
      <c r="N10" s="16">
        <f>IF($A10=N$3,0,ROUND(SQRT((NodeData!$D10-NodeData!$D15)^2+(NodeData!$E10-NodeData!$E15)^2)*UAV_Params!$B$10+IF(NodeData!$F15&gt;=NodeData!$F10,(NodeData!$F15-NodeData!$F10)*UAV_Params!$B$11,(NodeData!$F10-NodeData!$F15)*UAV_Params!$B$12),0))</f>
        <v>5649</v>
      </c>
      <c r="O10" s="16">
        <f>IF($A10=O$3,0,ROUND(SQRT((NodeData!$D10-NodeData!$D16)^2+(NodeData!$E10-NodeData!$E16)^2)*UAV_Params!$B$10+IF(NodeData!$F16&gt;=NodeData!$F10,(NodeData!$F16-NodeData!$F10)*UAV_Params!$B$11,(NodeData!$F10-NodeData!$F16)*UAV_Params!$B$12),0))</f>
        <v>5233</v>
      </c>
      <c r="P10" s="16">
        <f>IF($A10=P$3,0,ROUND(SQRT((NodeData!$D10-NodeData!$D17)^2+(NodeData!$E10-NodeData!$E17)^2)*UAV_Params!$B$10+IF(NodeData!$F17&gt;=NodeData!$F10,(NodeData!$F17-NodeData!$F10)*UAV_Params!$B$11,(NodeData!$F10-NodeData!$F17)*UAV_Params!$B$12),0))</f>
        <v>5466</v>
      </c>
      <c r="Q10" s="16">
        <f>IF($A10=Q$3,0,ROUND(SQRT((NodeData!$D10-NodeData!$D18)^2+(NodeData!$E10-NodeData!$E18)^2)*UAV_Params!$B$10+IF(NodeData!$F18&gt;=NodeData!$F10,(NodeData!$F18-NodeData!$F10)*UAV_Params!$B$11,(NodeData!$F10-NodeData!$F18)*UAV_Params!$B$12),0))</f>
        <v>5557</v>
      </c>
      <c r="R10" s="16">
        <f>IF($A10=R$3,0,ROUND(SQRT((NodeData!$D10-NodeData!$D19)^2+(NodeData!$E10-NodeData!$E19)^2)*UAV_Params!$B$10+IF(NodeData!$F19&gt;=NodeData!$F10,(NodeData!$F19-NodeData!$F10)*UAV_Params!$B$11,(NodeData!$F10-NodeData!$F19)*UAV_Params!$B$12),0))</f>
        <v>6593</v>
      </c>
      <c r="S10" s="16">
        <f>IF($A10=S$3,0,ROUND(SQRT((NodeData!$D10-NodeData!$D20)^2+(NodeData!$E10-NodeData!$E20)^2)*UAV_Params!$B$10+IF(NodeData!$F20&gt;=NodeData!$F10,(NodeData!$F20-NodeData!$F10)*UAV_Params!$B$11,(NodeData!$F10-NodeData!$F20)*UAV_Params!$B$12),0))</f>
        <v>6748</v>
      </c>
    </row>
    <row r="11" ht="16.5" customHeight="1" spans="1:19">
      <c r="A11" s="18">
        <v>7</v>
      </c>
      <c r="B11" s="17" t="s">
        <v>124</v>
      </c>
      <c r="C11" s="16">
        <f>IF($A11=C$3,0,ROUND(SQRT((NodeData!$D11-NodeData!$D4)^2+(NodeData!$E11-NodeData!$E4)^2)*UAV_Params!$B$10+IF(NodeData!$F4&gt;=NodeData!$F11,(NodeData!$F4-NodeData!$F11)*UAV_Params!$B$11,(NodeData!$F11-NodeData!$F4)*UAV_Params!$B$12),0))</f>
        <v>3715</v>
      </c>
      <c r="D11" s="16">
        <f>IF($A11=D$3,0,ROUND(SQRT((NodeData!$D11-NodeData!$D5)^2+(NodeData!$E11-NodeData!$E5)^2)*UAV_Params!$B$10+IF(NodeData!$F5&gt;=NodeData!$F11,(NodeData!$F5-NodeData!$F11)*UAV_Params!$B$11,(NodeData!$F11-NodeData!$F5)*UAV_Params!$B$12),0))</f>
        <v>3619</v>
      </c>
      <c r="E11" s="16">
        <f>IF($A11=E$3,0,ROUND(SQRT((NodeData!$D11-NodeData!$D6)^2+(NodeData!$E11-NodeData!$E6)^2)*UAV_Params!$B$10+IF(NodeData!$F6&gt;=NodeData!$F11,(NodeData!$F6-NodeData!$F11)*UAV_Params!$B$11,(NodeData!$F11-NodeData!$F6)*UAV_Params!$B$12),0))</f>
        <v>3771</v>
      </c>
      <c r="F11" s="16">
        <f>IF($A11=F$3,0,ROUND(SQRT((NodeData!$D11-NodeData!$D7)^2+(NodeData!$E11-NodeData!$E7)^2)*UAV_Params!$B$10+IF(NodeData!$F7&gt;=NodeData!$F11,(NodeData!$F7-NodeData!$F11)*UAV_Params!$B$11,(NodeData!$F11-NodeData!$F7)*UAV_Params!$B$12),0))</f>
        <v>3392</v>
      </c>
      <c r="G11" s="16">
        <f>IF($A11=G$3,0,ROUND(SQRT((NodeData!$D11-NodeData!$D8)^2+(NodeData!$E11-NodeData!$E8)^2)*UAV_Params!$B$10+IF(NodeData!$F8&gt;=NodeData!$F11,(NodeData!$F8-NodeData!$F11)*UAV_Params!$B$11,(NodeData!$F11-NodeData!$F8)*UAV_Params!$B$12),0))</f>
        <v>1914</v>
      </c>
      <c r="H11" s="16">
        <f>IF($A11=H$3,0,ROUND(SQRT((NodeData!$D11-NodeData!$D9)^2+(NodeData!$E11-NodeData!$E9)^2)*UAV_Params!$B$10+IF(NodeData!$F9&gt;=NodeData!$F11,(NodeData!$F9-NodeData!$F11)*UAV_Params!$B$11,(NodeData!$F11-NodeData!$F9)*UAV_Params!$B$12),0))</f>
        <v>2460</v>
      </c>
      <c r="I11" s="16">
        <f>IF($A11=I$3,0,ROUND(SQRT((NodeData!$D11-NodeData!$D10)^2+(NodeData!$E11-NodeData!$E10)^2)*UAV_Params!$B$10+IF(NodeData!$F10&gt;=NodeData!$F11,(NodeData!$F10-NodeData!$F11)*UAV_Params!$B$11,(NodeData!$F11-NodeData!$F10)*UAV_Params!$B$12),0))</f>
        <v>1659</v>
      </c>
      <c r="J11" s="16">
        <f>IF($A11=J$3,0,ROUND(SQRT((NodeData!$D11-NodeData!$D11)^2+(NodeData!$E11-NodeData!$E11)^2)*UAV_Params!$B$10+IF(NodeData!$F11&gt;=NodeData!$F11,(NodeData!$F11-NodeData!$F11)*UAV_Params!$B$11,(NodeData!$F11-NodeData!$F11)*UAV_Params!$B$12),0))</f>
        <v>0</v>
      </c>
      <c r="K11" s="16">
        <f>IF($A11=K$3,0,ROUND(SQRT((NodeData!$D11-NodeData!$D12)^2+(NodeData!$E11-NodeData!$E12)^2)*UAV_Params!$B$10+IF(NodeData!$F12&gt;=NodeData!$F11,(NodeData!$F12-NodeData!$F11)*UAV_Params!$B$11,(NodeData!$F11-NodeData!$F12)*UAV_Params!$B$12),0))</f>
        <v>626</v>
      </c>
      <c r="L11" s="16">
        <f>IF($A11=L$3,0,ROUND(SQRT((NodeData!$D11-NodeData!$D13)^2+(NodeData!$E11-NodeData!$E13)^2)*UAV_Params!$B$10+IF(NodeData!$F13&gt;=NodeData!$F11,(NodeData!$F13-NodeData!$F11)*UAV_Params!$B$11,(NodeData!$F11-NodeData!$F13)*UAV_Params!$B$12),0))</f>
        <v>3105</v>
      </c>
      <c r="M11" s="16">
        <f>IF($A11=M$3,0,ROUND(SQRT((NodeData!$D11-NodeData!$D14)^2+(NodeData!$E11-NodeData!$E14)^2)*UAV_Params!$B$10+IF(NodeData!$F14&gt;=NodeData!$F11,(NodeData!$F14-NodeData!$F11)*UAV_Params!$B$11,(NodeData!$F11-NodeData!$F14)*UAV_Params!$B$12),0))</f>
        <v>2989</v>
      </c>
      <c r="N11" s="16">
        <f>IF($A11=N$3,0,ROUND(SQRT((NodeData!$D11-NodeData!$D15)^2+(NodeData!$E11-NodeData!$E15)^2)*UAV_Params!$B$10+IF(NodeData!$F15&gt;=NodeData!$F11,(NodeData!$F15-NodeData!$F11)*UAV_Params!$B$11,(NodeData!$F11-NodeData!$F15)*UAV_Params!$B$12),0))</f>
        <v>5235</v>
      </c>
      <c r="O11" s="16">
        <f>IF($A11=O$3,0,ROUND(SQRT((NodeData!$D11-NodeData!$D16)^2+(NodeData!$E11-NodeData!$E16)^2)*UAV_Params!$B$10+IF(NodeData!$F16&gt;=NodeData!$F11,(NodeData!$F16-NodeData!$F11)*UAV_Params!$B$11,(NodeData!$F11-NodeData!$F16)*UAV_Params!$B$12),0))</f>
        <v>5041</v>
      </c>
      <c r="P11" s="16">
        <f>IF($A11=P$3,0,ROUND(SQRT((NodeData!$D11-NodeData!$D17)^2+(NodeData!$E11-NodeData!$E17)^2)*UAV_Params!$B$10+IF(NodeData!$F17&gt;=NodeData!$F11,(NodeData!$F17-NodeData!$F11)*UAV_Params!$B$11,(NodeData!$F11-NodeData!$F17)*UAV_Params!$B$12),0))</f>
        <v>6042</v>
      </c>
      <c r="Q11" s="16">
        <f>IF($A11=Q$3,0,ROUND(SQRT((NodeData!$D11-NodeData!$D18)^2+(NodeData!$E11-NodeData!$E18)^2)*UAV_Params!$B$10+IF(NodeData!$F18&gt;=NodeData!$F11,(NodeData!$F18-NodeData!$F11)*UAV_Params!$B$11,(NodeData!$F11-NodeData!$F18)*UAV_Params!$B$12),0))</f>
        <v>6315</v>
      </c>
      <c r="R11" s="16">
        <f>IF($A11=R$3,0,ROUND(SQRT((NodeData!$D11-NodeData!$D19)^2+(NodeData!$E11-NodeData!$E19)^2)*UAV_Params!$B$10+IF(NodeData!$F19&gt;=NodeData!$F11,(NodeData!$F19-NodeData!$F11)*UAV_Params!$B$11,(NodeData!$F11-NodeData!$F19)*UAV_Params!$B$12),0))</f>
        <v>7513</v>
      </c>
      <c r="S11" s="16">
        <f>IF($A11=S$3,0,ROUND(SQRT((NodeData!$D11-NodeData!$D20)^2+(NodeData!$E11-NodeData!$E20)^2)*UAV_Params!$B$10+IF(NodeData!$F20&gt;=NodeData!$F11,(NodeData!$F20-NodeData!$F11)*UAV_Params!$B$11,(NodeData!$F11-NodeData!$F20)*UAV_Params!$B$12),0))</f>
        <v>7717</v>
      </c>
    </row>
    <row r="12" ht="16.5" customHeight="1" spans="1:19">
      <c r="A12" s="18">
        <v>8</v>
      </c>
      <c r="B12" s="17" t="s">
        <v>129</v>
      </c>
      <c r="C12" s="16">
        <f>IF($A12=C$3,0,ROUND(SQRT((NodeData!$D12-NodeData!$D4)^2+(NodeData!$E12-NodeData!$E4)^2)*UAV_Params!$B$10+IF(NodeData!$F4&gt;=NodeData!$F12,(NodeData!$F4-NodeData!$F12)*UAV_Params!$B$11,(NodeData!$F12-NodeData!$F4)*UAV_Params!$B$12),0))</f>
        <v>3654</v>
      </c>
      <c r="D12" s="16">
        <f>IF($A12=D$3,0,ROUND(SQRT((NodeData!$D12-NodeData!$D5)^2+(NodeData!$E12-NodeData!$E5)^2)*UAV_Params!$B$10+IF(NodeData!$F5&gt;=NodeData!$F12,(NodeData!$F5-NodeData!$F12)*UAV_Params!$B$11,(NodeData!$F12-NodeData!$F5)*UAV_Params!$B$12),0))</f>
        <v>3487</v>
      </c>
      <c r="E12" s="16">
        <f>IF($A12=E$3,0,ROUND(SQRT((NodeData!$D12-NodeData!$D6)^2+(NodeData!$E12-NodeData!$E6)^2)*UAV_Params!$B$10+IF(NodeData!$F6&gt;=NodeData!$F12,(NodeData!$F6-NodeData!$F12)*UAV_Params!$B$11,(NodeData!$F12-NodeData!$F6)*UAV_Params!$B$12),0))</f>
        <v>3321</v>
      </c>
      <c r="F12" s="16">
        <f>IF($A12=F$3,0,ROUND(SQRT((NodeData!$D12-NodeData!$D7)^2+(NodeData!$E12-NodeData!$E7)^2)*UAV_Params!$B$10+IF(NodeData!$F7&gt;=NodeData!$F12,(NodeData!$F7-NodeData!$F12)*UAV_Params!$B$11,(NodeData!$F12-NodeData!$F7)*UAV_Params!$B$12),0))</f>
        <v>3187</v>
      </c>
      <c r="G12" s="16">
        <f>IF($A12=G$3,0,ROUND(SQRT((NodeData!$D12-NodeData!$D8)^2+(NodeData!$E12-NodeData!$E8)^2)*UAV_Params!$B$10+IF(NodeData!$F8&gt;=NodeData!$F12,(NodeData!$F8-NodeData!$F12)*UAV_Params!$B$11,(NodeData!$F12-NodeData!$F8)*UAV_Params!$B$12),0))</f>
        <v>1791</v>
      </c>
      <c r="H12" s="16">
        <f>IF($A12=H$3,0,ROUND(SQRT((NodeData!$D12-NodeData!$D9)^2+(NodeData!$E12-NodeData!$E9)^2)*UAV_Params!$B$10+IF(NodeData!$F9&gt;=NodeData!$F12,(NodeData!$F9-NodeData!$F12)*UAV_Params!$B$11,(NodeData!$F12-NodeData!$F9)*UAV_Params!$B$12),0))</f>
        <v>1914</v>
      </c>
      <c r="I12" s="16">
        <f>IF($A12=I$3,0,ROUND(SQRT((NodeData!$D12-NodeData!$D10)^2+(NodeData!$E12-NodeData!$E10)^2)*UAV_Params!$B$10+IF(NodeData!$F10&gt;=NodeData!$F12,(NodeData!$F10-NodeData!$F12)*UAV_Params!$B$11,(NodeData!$F12-NodeData!$F10)*UAV_Params!$B$12),0))</f>
        <v>1545</v>
      </c>
      <c r="J12" s="16">
        <f>IF($A12=J$3,0,ROUND(SQRT((NodeData!$D12-NodeData!$D11)^2+(NodeData!$E12-NodeData!$E11)^2)*UAV_Params!$B$10+IF(NodeData!$F11&gt;=NodeData!$F12,(NodeData!$F11-NodeData!$F12)*UAV_Params!$B$11,(NodeData!$F12-NodeData!$F11)*UAV_Params!$B$12),0))</f>
        <v>472</v>
      </c>
      <c r="K12" s="16">
        <f>IF($A12=K$3,0,ROUND(SQRT((NodeData!$D12-NodeData!$D12)^2+(NodeData!$E12-NodeData!$E12)^2)*UAV_Params!$B$10+IF(NodeData!$F12&gt;=NodeData!$F12,(NodeData!$F12-NodeData!$F12)*UAV_Params!$B$11,(NodeData!$F12-NodeData!$F12)*UAV_Params!$B$12),0))</f>
        <v>0</v>
      </c>
      <c r="L12" s="16">
        <f>IF($A12=L$3,0,ROUND(SQRT((NodeData!$D12-NodeData!$D13)^2+(NodeData!$E12-NodeData!$E13)^2)*UAV_Params!$B$10+IF(NodeData!$F13&gt;=NodeData!$F12,(NodeData!$F13-NodeData!$F12)*UAV_Params!$B$11,(NodeData!$F12-NodeData!$F13)*UAV_Params!$B$12),0))</f>
        <v>3232</v>
      </c>
      <c r="M12" s="16">
        <f>IF($A12=M$3,0,ROUND(SQRT((NodeData!$D12-NodeData!$D14)^2+(NodeData!$E12-NodeData!$E14)^2)*UAV_Params!$B$10+IF(NodeData!$F14&gt;=NodeData!$F12,(NodeData!$F14-NodeData!$F12)*UAV_Params!$B$11,(NodeData!$F12-NodeData!$F14)*UAV_Params!$B$12),0))</f>
        <v>2827</v>
      </c>
      <c r="N12" s="16">
        <f>IF($A12=N$3,0,ROUND(SQRT((NodeData!$D12-NodeData!$D15)^2+(NodeData!$E12-NodeData!$E15)^2)*UAV_Params!$B$10+IF(NodeData!$F15&gt;=NodeData!$F12,(NodeData!$F15-NodeData!$F12)*UAV_Params!$B$11,(NodeData!$F12-NodeData!$F15)*UAV_Params!$B$12),0))</f>
        <v>5210</v>
      </c>
      <c r="O12" s="16">
        <f>IF($A12=O$3,0,ROUND(SQRT((NodeData!$D12-NodeData!$D16)^2+(NodeData!$E12-NodeData!$E16)^2)*UAV_Params!$B$10+IF(NodeData!$F16&gt;=NodeData!$F12,(NodeData!$F16-NodeData!$F12)*UAV_Params!$B$11,(NodeData!$F12-NodeData!$F16)*UAV_Params!$B$12),0))</f>
        <v>5117</v>
      </c>
      <c r="P12" s="16">
        <f>IF($A12=P$3,0,ROUND(SQRT((NodeData!$D12-NodeData!$D17)^2+(NodeData!$E12-NodeData!$E17)^2)*UAV_Params!$B$10+IF(NodeData!$F17&gt;=NodeData!$F12,(NodeData!$F17-NodeData!$F12)*UAV_Params!$B$11,(NodeData!$F12-NodeData!$F17)*UAV_Params!$B$12),0))</f>
        <v>5897</v>
      </c>
      <c r="Q12" s="16">
        <f>IF($A12=Q$3,0,ROUND(SQRT((NodeData!$D12-NodeData!$D18)^2+(NodeData!$E12-NodeData!$E18)^2)*UAV_Params!$B$10+IF(NodeData!$F18&gt;=NodeData!$F12,(NodeData!$F18-NodeData!$F12)*UAV_Params!$B$11,(NodeData!$F12-NodeData!$F18)*UAV_Params!$B$12),0))</f>
        <v>6236</v>
      </c>
      <c r="R12" s="16">
        <f>IF($A12=R$3,0,ROUND(SQRT((NodeData!$D12-NodeData!$D19)^2+(NodeData!$E12-NodeData!$E19)^2)*UAV_Params!$B$10+IF(NodeData!$F19&gt;=NodeData!$F12,(NodeData!$F19-NodeData!$F12)*UAV_Params!$B$11,(NodeData!$F12-NodeData!$F19)*UAV_Params!$B$12),0))</f>
        <v>7403</v>
      </c>
      <c r="S12" s="16">
        <f>IF($A12=S$3,0,ROUND(SQRT((NodeData!$D12-NodeData!$D20)^2+(NodeData!$E12-NodeData!$E20)^2)*UAV_Params!$B$10+IF(NodeData!$F20&gt;=NodeData!$F12,(NodeData!$F20-NodeData!$F12)*UAV_Params!$B$11,(NodeData!$F12-NodeData!$F20)*UAV_Params!$B$12),0))</f>
        <v>7182</v>
      </c>
    </row>
    <row r="13" ht="16.5" customHeight="1" spans="1:19">
      <c r="A13" s="18">
        <v>9</v>
      </c>
      <c r="B13" s="17" t="s">
        <v>133</v>
      </c>
      <c r="C13" s="16">
        <f>IF($A13=C$3,0,ROUND(SQRT((NodeData!$D13-NodeData!$D4)^2+(NodeData!$E13-NodeData!$E4)^2)*UAV_Params!$B$10+IF(NodeData!$F4&gt;=NodeData!$F13,(NodeData!$F4-NodeData!$F13)*UAV_Params!$B$11,(NodeData!$F13-NodeData!$F4)*UAV_Params!$B$12),0))</f>
        <v>2448</v>
      </c>
      <c r="D13" s="16">
        <f>IF($A13=D$3,0,ROUND(SQRT((NodeData!$D13-NodeData!$D5)^2+(NodeData!$E13-NodeData!$E5)^2)*UAV_Params!$B$10+IF(NodeData!$F5&gt;=NodeData!$F13,(NodeData!$F5-NodeData!$F13)*UAV_Params!$B$11,(NodeData!$F13-NodeData!$F5)*UAV_Params!$B$12),0))</f>
        <v>4640</v>
      </c>
      <c r="E13" s="16">
        <f>IF($A13=E$3,0,ROUND(SQRT((NodeData!$D13-NodeData!$D6)^2+(NodeData!$E13-NodeData!$E6)^2)*UAV_Params!$B$10+IF(NodeData!$F6&gt;=NodeData!$F13,(NodeData!$F6-NodeData!$F13)*UAV_Params!$B$11,(NodeData!$F13-NodeData!$F6)*UAV_Params!$B$12),0))</f>
        <v>4743</v>
      </c>
      <c r="F13" s="16">
        <f>IF($A13=F$3,0,ROUND(SQRT((NodeData!$D13-NodeData!$D7)^2+(NodeData!$E13-NodeData!$E7)^2)*UAV_Params!$B$10+IF(NodeData!$F7&gt;=NodeData!$F13,(NodeData!$F7-NodeData!$F13)*UAV_Params!$B$11,(NodeData!$F13-NodeData!$F7)*UAV_Params!$B$12),0))</f>
        <v>4399</v>
      </c>
      <c r="G13" s="16">
        <f>IF($A13=G$3,0,ROUND(SQRT((NodeData!$D13-NodeData!$D8)^2+(NodeData!$E13-NodeData!$E8)^2)*UAV_Params!$B$10+IF(NodeData!$F8&gt;=NodeData!$F13,(NodeData!$F8-NodeData!$F13)*UAV_Params!$B$11,(NodeData!$F13-NodeData!$F8)*UAV_Params!$B$12),0))</f>
        <v>3794</v>
      </c>
      <c r="H13" s="16">
        <f>IF($A13=H$3,0,ROUND(SQRT((NodeData!$D13-NodeData!$D9)^2+(NodeData!$E13-NodeData!$E9)^2)*UAV_Params!$B$10+IF(NodeData!$F9&gt;=NodeData!$F13,(NodeData!$F9-NodeData!$F13)*UAV_Params!$B$11,(NodeData!$F13-NodeData!$F9)*UAV_Params!$B$12),0))</f>
        <v>4229</v>
      </c>
      <c r="I13" s="16">
        <f>IF($A13=I$3,0,ROUND(SQRT((NodeData!$D13-NodeData!$D10)^2+(NodeData!$E13-NodeData!$E10)^2)*UAV_Params!$B$10+IF(NodeData!$F10&gt;=NodeData!$F13,(NodeData!$F10-NodeData!$F13)*UAV_Params!$B$11,(NodeData!$F13-NodeData!$F10)*UAV_Params!$B$12),0))</f>
        <v>3664</v>
      </c>
      <c r="J13" s="16">
        <f>IF($A13=J$3,0,ROUND(SQRT((NodeData!$D13-NodeData!$D11)^2+(NodeData!$E13-NodeData!$E11)^2)*UAV_Params!$B$10+IF(NodeData!$F11&gt;=NodeData!$F13,(NodeData!$F11-NodeData!$F13)*UAV_Params!$B$11,(NodeData!$F13-NodeData!$F11)*UAV_Params!$B$12),0))</f>
        <v>3160</v>
      </c>
      <c r="K13" s="16">
        <f>IF($A13=K$3,0,ROUND(SQRT((NodeData!$D13-NodeData!$D12)^2+(NodeData!$E13-NodeData!$E12)^2)*UAV_Params!$B$10+IF(NodeData!$F12&gt;=NodeData!$F13,(NodeData!$F12-NodeData!$F13)*UAV_Params!$B$11,(NodeData!$F13-NodeData!$F12)*UAV_Params!$B$12),0))</f>
        <v>3441</v>
      </c>
      <c r="L13" s="16">
        <f>IF($A13=L$3,0,ROUND(SQRT((NodeData!$D13-NodeData!$D13)^2+(NodeData!$E13-NodeData!$E13)^2)*UAV_Params!$B$10+IF(NodeData!$F13&gt;=NodeData!$F13,(NodeData!$F13-NodeData!$F13)*UAV_Params!$B$11,(NodeData!$F13-NodeData!$F13)*UAV_Params!$B$12),0))</f>
        <v>0</v>
      </c>
      <c r="M13" s="16">
        <f>IF($A13=M$3,0,ROUND(SQRT((NodeData!$D13-NodeData!$D14)^2+(NodeData!$E13-NodeData!$E14)^2)*UAV_Params!$B$10+IF(NodeData!$F14&gt;=NodeData!$F13,(NodeData!$F14-NodeData!$F13)*UAV_Params!$B$11,(NodeData!$F13-NodeData!$F14)*UAV_Params!$B$12),0))</f>
        <v>557</v>
      </c>
      <c r="N13" s="16">
        <f>IF($A13=N$3,0,ROUND(SQRT((NodeData!$D13-NodeData!$D15)^2+(NodeData!$E13-NodeData!$E15)^2)*UAV_Params!$B$10+IF(NodeData!$F15&gt;=NodeData!$F13,(NodeData!$F15-NodeData!$F13)*UAV_Params!$B$11,(NodeData!$F13-NodeData!$F15)*UAV_Params!$B$12),0))</f>
        <v>2371</v>
      </c>
      <c r="O13" s="16">
        <f>IF($A13=O$3,0,ROUND(SQRT((NodeData!$D13-NodeData!$D16)^2+(NodeData!$E13-NodeData!$E16)^2)*UAV_Params!$B$10+IF(NodeData!$F16&gt;=NodeData!$F13,(NodeData!$F16-NodeData!$F13)*UAV_Params!$B$11,(NodeData!$F13-NodeData!$F16)*UAV_Params!$B$12),0))</f>
        <v>2025</v>
      </c>
      <c r="P13" s="16">
        <f>IF($A13=P$3,0,ROUND(SQRT((NodeData!$D13-NodeData!$D17)^2+(NodeData!$E13-NodeData!$E17)^2)*UAV_Params!$B$10+IF(NodeData!$F17&gt;=NodeData!$F13,(NodeData!$F17-NodeData!$F13)*UAV_Params!$B$11,(NodeData!$F13-NodeData!$F17)*UAV_Params!$B$12),0))</f>
        <v>4461</v>
      </c>
      <c r="Q13" s="16">
        <f>IF($A13=Q$3,0,ROUND(SQRT((NodeData!$D13-NodeData!$D18)^2+(NodeData!$E13-NodeData!$E18)^2)*UAV_Params!$B$10+IF(NodeData!$F18&gt;=NodeData!$F13,(NodeData!$F18-NodeData!$F13)*UAV_Params!$B$11,(NodeData!$F13-NodeData!$F18)*UAV_Params!$B$12),0))</f>
        <v>4627</v>
      </c>
      <c r="R13" s="16">
        <f>IF($A13=R$3,0,ROUND(SQRT((NodeData!$D13-NodeData!$D19)^2+(NodeData!$E13-NodeData!$E19)^2)*UAV_Params!$B$10+IF(NodeData!$F19&gt;=NodeData!$F13,(NodeData!$F19-NodeData!$F13)*UAV_Params!$B$11,(NodeData!$F13-NodeData!$F19)*UAV_Params!$B$12),0))</f>
        <v>6433</v>
      </c>
      <c r="S13" s="16">
        <f>IF($A13=S$3,0,ROUND(SQRT((NodeData!$D13-NodeData!$D20)^2+(NodeData!$E13-NodeData!$E20)^2)*UAV_Params!$B$10+IF(NodeData!$F20&gt;=NodeData!$F13,(NodeData!$F20-NodeData!$F13)*UAV_Params!$B$11,(NodeData!$F13-NodeData!$F20)*UAV_Params!$B$12),0))</f>
        <v>6761</v>
      </c>
    </row>
    <row r="14" ht="16.5" customHeight="1" spans="1:19">
      <c r="A14" s="18">
        <v>10</v>
      </c>
      <c r="B14" s="17" t="s">
        <v>137</v>
      </c>
      <c r="C14" s="16">
        <f>IF($A14=C$3,0,ROUND(SQRT((NodeData!$D14-NodeData!$D4)^2+(NodeData!$E14-NodeData!$E4)^2)*UAV_Params!$B$10+IF(NodeData!$F4&gt;=NodeData!$F14,(NodeData!$F4-NodeData!$F14)*UAV_Params!$B$11,(NodeData!$F14-NodeData!$F4)*UAV_Params!$B$12),0))</f>
        <v>2485</v>
      </c>
      <c r="D14" s="16">
        <f>IF($A14=D$3,0,ROUND(SQRT((NodeData!$D14-NodeData!$D5)^2+(NodeData!$E14-NodeData!$E5)^2)*UAV_Params!$B$10+IF(NodeData!$F5&gt;=NodeData!$F14,(NodeData!$F5-NodeData!$F14)*UAV_Params!$B$11,(NodeData!$F14-NodeData!$F5)*UAV_Params!$B$12),0))</f>
        <v>4540</v>
      </c>
      <c r="E14" s="16">
        <f>IF($A14=E$3,0,ROUND(SQRT((NodeData!$D14-NodeData!$D6)^2+(NodeData!$E14-NodeData!$E6)^2)*UAV_Params!$B$10+IF(NodeData!$F6&gt;=NodeData!$F14,(NodeData!$F6-NodeData!$F14)*UAV_Params!$B$11,(NodeData!$F14-NodeData!$F6)*UAV_Params!$B$12),0))</f>
        <v>4230</v>
      </c>
      <c r="F14" s="16">
        <f>IF($A14=F$3,0,ROUND(SQRT((NodeData!$D14-NodeData!$D7)^2+(NodeData!$E14-NodeData!$E7)^2)*UAV_Params!$B$10+IF(NodeData!$F7&gt;=NodeData!$F14,(NodeData!$F7-NodeData!$F14)*UAV_Params!$B$11,(NodeData!$F14-NodeData!$F7)*UAV_Params!$B$12),0))</f>
        <v>4092</v>
      </c>
      <c r="G14" s="16">
        <f>IF($A14=G$3,0,ROUND(SQRT((NodeData!$D14-NodeData!$D8)^2+(NodeData!$E14-NodeData!$E8)^2)*UAV_Params!$B$10+IF(NodeData!$F8&gt;=NodeData!$F14,(NodeData!$F8-NodeData!$F14)*UAV_Params!$B$11,(NodeData!$F14-NodeData!$F8)*UAV_Params!$B$12),0))</f>
        <v>3591</v>
      </c>
      <c r="H14" s="16">
        <f>IF($A14=H$3,0,ROUND(SQRT((NodeData!$D14-NodeData!$D9)^2+(NodeData!$E14-NodeData!$E9)^2)*UAV_Params!$B$10+IF(NodeData!$F9&gt;=NodeData!$F14,(NodeData!$F9-NodeData!$F14)*UAV_Params!$B$11,(NodeData!$F14-NodeData!$F9)*UAV_Params!$B$12),0))</f>
        <v>3681</v>
      </c>
      <c r="I14" s="16">
        <f>IF($A14=I$3,0,ROUND(SQRT((NodeData!$D14-NodeData!$D10)^2+(NodeData!$E14-NodeData!$E10)^2)*UAV_Params!$B$10+IF(NodeData!$F10&gt;=NodeData!$F14,(NodeData!$F10-NodeData!$F14)*UAV_Params!$B$11,(NodeData!$F14-NodeData!$F10)*UAV_Params!$B$12),0))</f>
        <v>3564</v>
      </c>
      <c r="J14" s="16">
        <f>IF($A14=J$3,0,ROUND(SQRT((NodeData!$D14-NodeData!$D11)^2+(NodeData!$E14-NodeData!$E11)^2)*UAV_Params!$B$10+IF(NodeData!$F11&gt;=NodeData!$F14,(NodeData!$F11-NodeData!$F14)*UAV_Params!$B$11,(NodeData!$F14-NodeData!$F11)*UAV_Params!$B$12),0))</f>
        <v>2901</v>
      </c>
      <c r="K14" s="16">
        <f>IF($A14=K$3,0,ROUND(SQRT((NodeData!$D14-NodeData!$D12)^2+(NodeData!$E14-NodeData!$E12)^2)*UAV_Params!$B$10+IF(NodeData!$F12&gt;=NodeData!$F14,(NodeData!$F12-NodeData!$F14)*UAV_Params!$B$11,(NodeData!$F14-NodeData!$F12)*UAV_Params!$B$12),0))</f>
        <v>2893</v>
      </c>
      <c r="L14" s="16">
        <f>IF($A14=L$3,0,ROUND(SQRT((NodeData!$D14-NodeData!$D13)^2+(NodeData!$E14-NodeData!$E13)^2)*UAV_Params!$B$10+IF(NodeData!$F13&gt;=NodeData!$F14,(NodeData!$F13-NodeData!$F14)*UAV_Params!$B$11,(NodeData!$F14-NodeData!$F13)*UAV_Params!$B$12),0))</f>
        <v>414</v>
      </c>
      <c r="M14" s="16">
        <f>IF($A14=M$3,0,ROUND(SQRT((NodeData!$D14-NodeData!$D14)^2+(NodeData!$E14-NodeData!$E14)^2)*UAV_Params!$B$10+IF(NodeData!$F14&gt;=NodeData!$F14,(NodeData!$F14-NodeData!$F14)*UAV_Params!$B$11,(NodeData!$F14-NodeData!$F14)*UAV_Params!$B$12),0))</f>
        <v>0</v>
      </c>
      <c r="N14" s="16">
        <f>IF($A14=N$3,0,ROUND(SQRT((NodeData!$D14-NodeData!$D15)^2+(NodeData!$E14-NodeData!$E15)^2)*UAV_Params!$B$10+IF(NodeData!$F15&gt;=NodeData!$F14,(NodeData!$F15-NodeData!$F14)*UAV_Params!$B$11,(NodeData!$F14-NodeData!$F15)*UAV_Params!$B$12),0))</f>
        <v>2454</v>
      </c>
      <c r="O14" s="16">
        <f>IF($A14=O$3,0,ROUND(SQRT((NodeData!$D14-NodeData!$D16)^2+(NodeData!$E14-NodeData!$E16)^2)*UAV_Params!$B$10+IF(NodeData!$F16&gt;=NodeData!$F14,(NodeData!$F16-NodeData!$F14)*UAV_Params!$B$11,(NodeData!$F14-NodeData!$F16)*UAV_Params!$B$12),0))</f>
        <v>2378</v>
      </c>
      <c r="P14" s="16">
        <f>IF($A14=P$3,0,ROUND(SQRT((NodeData!$D14-NodeData!$D17)^2+(NodeData!$E14-NodeData!$E17)^2)*UAV_Params!$B$10+IF(NodeData!$F17&gt;=NodeData!$F14,(NodeData!$F17-NodeData!$F14)*UAV_Params!$B$11,(NodeData!$F14-NodeData!$F17)*UAV_Params!$B$12),0))</f>
        <v>4370</v>
      </c>
      <c r="Q14" s="16">
        <f>IF($A14=Q$3,0,ROUND(SQRT((NodeData!$D14-NodeData!$D18)^2+(NodeData!$E14-NodeData!$E18)^2)*UAV_Params!$B$10+IF(NodeData!$F18&gt;=NodeData!$F14,(NodeData!$F18-NodeData!$F14)*UAV_Params!$B$11,(NodeData!$F14-NodeData!$F18)*UAV_Params!$B$12),0))</f>
        <v>4746</v>
      </c>
      <c r="R14" s="16">
        <f>IF($A14=R$3,0,ROUND(SQRT((NodeData!$D14-NodeData!$D19)^2+(NodeData!$E14-NodeData!$E19)^2)*UAV_Params!$B$10+IF(NodeData!$F19&gt;=NodeData!$F14,(NodeData!$F19-NodeData!$F14)*UAV_Params!$B$11,(NodeData!$F14-NodeData!$F19)*UAV_Params!$B$12),0))</f>
        <v>6376</v>
      </c>
      <c r="S14" s="16">
        <f>IF($A14=S$3,0,ROUND(SQRT((NodeData!$D14-NodeData!$D20)^2+(NodeData!$E14-NodeData!$E20)^2)*UAV_Params!$B$10+IF(NodeData!$F20&gt;=NodeData!$F14,(NodeData!$F20-NodeData!$F14)*UAV_Params!$B$11,(NodeData!$F14-NodeData!$F20)*UAV_Params!$B$12),0))</f>
        <v>6413</v>
      </c>
    </row>
    <row r="15" ht="16.5" customHeight="1" spans="1:19">
      <c r="A15" s="18">
        <v>11</v>
      </c>
      <c r="B15" s="17" t="s">
        <v>140</v>
      </c>
      <c r="C15" s="16">
        <f>IF($A15=C$3,0,ROUND(SQRT((NodeData!$D15-NodeData!$D4)^2+(NodeData!$E15-NodeData!$E4)^2)*UAV_Params!$B$10+IF(NodeData!$F4&gt;=NodeData!$F15,(NodeData!$F4-NodeData!$F15)*UAV_Params!$B$11,(NodeData!$F15-NodeData!$F4)*UAV_Params!$B$12),0))</f>
        <v>3194</v>
      </c>
      <c r="D15" s="16">
        <f>IF($A15=D$3,0,ROUND(SQRT((NodeData!$D15-NodeData!$D5)^2+(NodeData!$E15-NodeData!$E5)^2)*UAV_Params!$B$10+IF(NodeData!$F5&gt;=NodeData!$F15,(NodeData!$F5-NodeData!$F15)*UAV_Params!$B$11,(NodeData!$F15-NodeData!$F5)*UAV_Params!$B$12),0))</f>
        <v>5851</v>
      </c>
      <c r="E15" s="16">
        <f>IF($A15=E$3,0,ROUND(SQRT((NodeData!$D15-NodeData!$D6)^2+(NodeData!$E15-NodeData!$E6)^2)*UAV_Params!$B$10+IF(NodeData!$F6&gt;=NodeData!$F15,(NodeData!$F6-NodeData!$F15)*UAV_Params!$B$11,(NodeData!$F15-NodeData!$F6)*UAV_Params!$B$12),0))</f>
        <v>5648</v>
      </c>
      <c r="F15" s="16">
        <f>IF($A15=F$3,0,ROUND(SQRT((NodeData!$D15-NodeData!$D7)^2+(NodeData!$E15-NodeData!$E7)^2)*UAV_Params!$B$10+IF(NodeData!$F7&gt;=NodeData!$F15,(NodeData!$F7-NodeData!$F15)*UAV_Params!$B$11,(NodeData!$F15-NodeData!$F7)*UAV_Params!$B$12),0))</f>
        <v>5400</v>
      </c>
      <c r="G15" s="16">
        <f>IF($A15=G$3,0,ROUND(SQRT((NodeData!$D15-NodeData!$D8)^2+(NodeData!$E15-NodeData!$E8)^2)*UAV_Params!$B$10+IF(NodeData!$F8&gt;=NodeData!$F15,(NodeData!$F8-NodeData!$F15)*UAV_Params!$B$11,(NodeData!$F15-NodeData!$F8)*UAV_Params!$B$12),0))</f>
        <v>5479</v>
      </c>
      <c r="H15" s="16">
        <f>IF($A15=H$3,0,ROUND(SQRT((NodeData!$D15-NodeData!$D9)^2+(NodeData!$E15-NodeData!$E9)^2)*UAV_Params!$B$10+IF(NodeData!$F9&gt;=NodeData!$F15,(NodeData!$F9-NodeData!$F15)*UAV_Params!$B$11,(NodeData!$F15-NodeData!$F9)*UAV_Params!$B$12),0))</f>
        <v>5644</v>
      </c>
      <c r="I15" s="16">
        <f>IF($A15=I$3,0,ROUND(SQRT((NodeData!$D15-NodeData!$D10)^2+(NodeData!$E15-NodeData!$E10)^2)*UAV_Params!$B$10+IF(NodeData!$F10&gt;=NodeData!$F15,(NodeData!$F10-NodeData!$F15)*UAV_Params!$B$11,(NodeData!$F15-NodeData!$F10)*UAV_Params!$B$12),0))</f>
        <v>5550</v>
      </c>
      <c r="J15" s="16">
        <f>IF($A15=J$3,0,ROUND(SQRT((NodeData!$D15-NodeData!$D11)^2+(NodeData!$E15-NodeData!$E11)^2)*UAV_Params!$B$10+IF(NodeData!$F11&gt;=NodeData!$F15,(NodeData!$F11-NodeData!$F15)*UAV_Params!$B$11,(NodeData!$F15-NodeData!$F11)*UAV_Params!$B$12),0))</f>
        <v>5202</v>
      </c>
      <c r="K15" s="16">
        <f>IF($A15=K$3,0,ROUND(SQRT((NodeData!$D15-NodeData!$D12)^2+(NodeData!$E15-NodeData!$E12)^2)*UAV_Params!$B$10+IF(NodeData!$F12&gt;=NodeData!$F15,(NodeData!$F12-NodeData!$F15)*UAV_Params!$B$11,(NodeData!$F15-NodeData!$F12)*UAV_Params!$B$12),0))</f>
        <v>5331</v>
      </c>
      <c r="L15" s="16">
        <f>IF($A15=L$3,0,ROUND(SQRT((NodeData!$D15-NodeData!$D13)^2+(NodeData!$E15-NodeData!$E13)^2)*UAV_Params!$B$10+IF(NodeData!$F13&gt;=NodeData!$F15,(NodeData!$F13-NodeData!$F15)*UAV_Params!$B$11,(NodeData!$F15-NodeData!$F13)*UAV_Params!$B$12),0))</f>
        <v>2283</v>
      </c>
      <c r="M15" s="16">
        <f>IF($A15=M$3,0,ROUND(SQRT((NodeData!$D15-NodeData!$D14)^2+(NodeData!$E15-NodeData!$E14)^2)*UAV_Params!$B$10+IF(NodeData!$F14&gt;=NodeData!$F15,(NodeData!$F14-NodeData!$F15)*UAV_Params!$B$11,(NodeData!$F15-NodeData!$F14)*UAV_Params!$B$12),0))</f>
        <v>2509</v>
      </c>
      <c r="N15" s="16">
        <f>IF($A15=N$3,0,ROUND(SQRT((NodeData!$D15-NodeData!$D15)^2+(NodeData!$E15-NodeData!$E15)^2)*UAV_Params!$B$10+IF(NodeData!$F15&gt;=NodeData!$F15,(NodeData!$F15-NodeData!$F15)*UAV_Params!$B$11,(NodeData!$F15-NodeData!$F15)*UAV_Params!$B$12),0))</f>
        <v>0</v>
      </c>
      <c r="O15" s="16">
        <f>IF($A15=O$3,0,ROUND(SQRT((NodeData!$D15-NodeData!$D16)^2+(NodeData!$E15-NodeData!$E16)^2)*UAV_Params!$B$10+IF(NodeData!$F16&gt;=NodeData!$F15,(NodeData!$F16-NodeData!$F15)*UAV_Params!$B$11,(NodeData!$F15-NodeData!$F16)*UAV_Params!$B$12),0))</f>
        <v>414</v>
      </c>
      <c r="P15" s="16">
        <f>IF($A15=P$3,0,ROUND(SQRT((NodeData!$D15-NodeData!$D17)^2+(NodeData!$E15-NodeData!$E17)^2)*UAV_Params!$B$10+IF(NodeData!$F17&gt;=NodeData!$F15,(NodeData!$F17-NodeData!$F15)*UAV_Params!$B$11,(NodeData!$F15-NodeData!$F17)*UAV_Params!$B$12),0))</f>
        <v>3477</v>
      </c>
      <c r="Q15" s="16">
        <f>IF($A15=Q$3,0,ROUND(SQRT((NodeData!$D15-NodeData!$D18)^2+(NodeData!$E15-NodeData!$E18)^2)*UAV_Params!$B$10+IF(NodeData!$F18&gt;=NodeData!$F15,(NodeData!$F18-NodeData!$F15)*UAV_Params!$B$11,(NodeData!$F15-NodeData!$F18)*UAV_Params!$B$12),0))</f>
        <v>3811</v>
      </c>
      <c r="R15" s="16">
        <f>IF($A15=R$3,0,ROUND(SQRT((NodeData!$D15-NodeData!$D19)^2+(NodeData!$E15-NodeData!$E19)^2)*UAV_Params!$B$10+IF(NodeData!$F19&gt;=NodeData!$F15,(NodeData!$F19-NodeData!$F15)*UAV_Params!$B$11,(NodeData!$F15-NodeData!$F19)*UAV_Params!$B$12),0))</f>
        <v>5613</v>
      </c>
      <c r="S15" s="16">
        <f>IF($A15=S$3,0,ROUND(SQRT((NodeData!$D15-NodeData!$D20)^2+(NodeData!$E15-NodeData!$E20)^2)*UAV_Params!$B$10+IF(NodeData!$F20&gt;=NodeData!$F15,(NodeData!$F20-NodeData!$F15)*UAV_Params!$B$11,(NodeData!$F15-NodeData!$F20)*UAV_Params!$B$12),0))</f>
        <v>5936</v>
      </c>
    </row>
    <row r="16" ht="16.5" customHeight="1" spans="1:19">
      <c r="A16" s="18">
        <v>12</v>
      </c>
      <c r="B16" s="17" t="s">
        <v>144</v>
      </c>
      <c r="C16" s="16">
        <f>IF($A16=C$3,0,ROUND(SQRT((NodeData!$D16-NodeData!$D4)^2+(NodeData!$E16-NodeData!$E4)^2)*UAV_Params!$B$10+IF(NodeData!$F4&gt;=NodeData!$F16,(NodeData!$F4-NodeData!$F16)*UAV_Params!$B$11,(NodeData!$F16-NodeData!$F4)*UAV_Params!$B$12),0))</f>
        <v>2800</v>
      </c>
      <c r="D16" s="16">
        <f>IF($A16=D$3,0,ROUND(SQRT((NodeData!$D16-NodeData!$D5)^2+(NodeData!$E16-NodeData!$E5)^2)*UAV_Params!$B$10+IF(NodeData!$F5&gt;=NodeData!$F16,(NodeData!$F5-NodeData!$F16)*UAV_Params!$B$11,(NodeData!$F16-NodeData!$F5)*UAV_Params!$B$12),0))</f>
        <v>5664</v>
      </c>
      <c r="E16" s="16">
        <f>IF($A16=E$3,0,ROUND(SQRT((NodeData!$D16-NodeData!$D6)^2+(NodeData!$E16-NodeData!$E6)^2)*UAV_Params!$B$10+IF(NodeData!$F6&gt;=NodeData!$F16,(NodeData!$F6-NodeData!$F16)*UAV_Params!$B$11,(NodeData!$F16-NodeData!$F6)*UAV_Params!$B$12),0))</f>
        <v>5707</v>
      </c>
      <c r="F16" s="16">
        <f>IF($A16=F$3,0,ROUND(SQRT((NodeData!$D16-NodeData!$D7)^2+(NodeData!$E16-NodeData!$E7)^2)*UAV_Params!$B$10+IF(NodeData!$F7&gt;=NodeData!$F16,(NodeData!$F7-NodeData!$F16)*UAV_Params!$B$11,(NodeData!$F16-NodeData!$F7)*UAV_Params!$B$12),0))</f>
        <v>5421</v>
      </c>
      <c r="G16" s="16">
        <f>IF($A16=G$3,0,ROUND(SQRT((NodeData!$D16-NodeData!$D8)^2+(NodeData!$E16-NodeData!$E8)^2)*UAV_Params!$B$10+IF(NodeData!$F8&gt;=NodeData!$F16,(NodeData!$F8-NodeData!$F16)*UAV_Params!$B$11,(NodeData!$F16-NodeData!$F8)*UAV_Params!$B$12),0))</f>
        <v>5345</v>
      </c>
      <c r="H16" s="16">
        <f>IF($A16=H$3,0,ROUND(SQRT((NodeData!$D16-NodeData!$D9)^2+(NodeData!$E16-NodeData!$E9)^2)*UAV_Params!$B$10+IF(NodeData!$F9&gt;=NodeData!$F16,(NodeData!$F9-NodeData!$F16)*UAV_Params!$B$11,(NodeData!$F16-NodeData!$F9)*UAV_Params!$B$12),0))</f>
        <v>5687</v>
      </c>
      <c r="I16" s="16">
        <f>IF($A16=I$3,0,ROUND(SQRT((NodeData!$D16-NodeData!$D10)^2+(NodeData!$E16-NodeData!$E10)^2)*UAV_Params!$B$10+IF(NodeData!$F10&gt;=NodeData!$F16,(NodeData!$F10-NodeData!$F16)*UAV_Params!$B$11,(NodeData!$F16-NodeData!$F10)*UAV_Params!$B$12),0))</f>
        <v>5277</v>
      </c>
      <c r="J16" s="16">
        <f>IF($A16=J$3,0,ROUND(SQRT((NodeData!$D16-NodeData!$D11)^2+(NodeData!$E16-NodeData!$E11)^2)*UAV_Params!$B$10+IF(NodeData!$F11&gt;=NodeData!$F16,(NodeData!$F11-NodeData!$F16)*UAV_Params!$B$11,(NodeData!$F16-NodeData!$F11)*UAV_Params!$B$12),0))</f>
        <v>5151</v>
      </c>
      <c r="K16" s="16">
        <f>IF($A16=K$3,0,ROUND(SQRT((NodeData!$D16-NodeData!$D12)^2+(NodeData!$E16-NodeData!$E12)^2)*UAV_Params!$B$10+IF(NodeData!$F12&gt;=NodeData!$F16,(NodeData!$F12-NodeData!$F16)*UAV_Params!$B$11,(NodeData!$F16-NodeData!$F12)*UAV_Params!$B$12),0))</f>
        <v>5381</v>
      </c>
      <c r="L16" s="16">
        <f>IF($A16=L$3,0,ROUND(SQRT((NodeData!$D16-NodeData!$D13)^2+(NodeData!$E16-NodeData!$E13)^2)*UAV_Params!$B$10+IF(NodeData!$F13&gt;=NodeData!$F16,(NodeData!$F13-NodeData!$F16)*UAV_Params!$B$11,(NodeData!$F16-NodeData!$F13)*UAV_Params!$B$12),0))</f>
        <v>2080</v>
      </c>
      <c r="M16" s="16">
        <f>IF($A16=M$3,0,ROUND(SQRT((NodeData!$D16-NodeData!$D14)^2+(NodeData!$E16-NodeData!$E14)^2)*UAV_Params!$B$10+IF(NodeData!$F14&gt;=NodeData!$F16,(NodeData!$F14-NodeData!$F16)*UAV_Params!$B$11,(NodeData!$F16-NodeData!$F14)*UAV_Params!$B$12),0))</f>
        <v>2576</v>
      </c>
      <c r="N16" s="16">
        <f>IF($A16=N$3,0,ROUND(SQRT((NodeData!$D16-NodeData!$D15)^2+(NodeData!$E16-NodeData!$E15)^2)*UAV_Params!$B$10+IF(NodeData!$F15&gt;=NodeData!$F16,(NodeData!$F15-NodeData!$F16)*UAV_Params!$B$11,(NodeData!$F16-NodeData!$F15)*UAV_Params!$B$12),0))</f>
        <v>557</v>
      </c>
      <c r="O16" s="16">
        <f>IF($A16=O$3,0,ROUND(SQRT((NodeData!$D16-NodeData!$D16)^2+(NodeData!$E16-NodeData!$E16)^2)*UAV_Params!$B$10+IF(NodeData!$F16&gt;=NodeData!$F16,(NodeData!$F16-NodeData!$F16)*UAV_Params!$B$11,(NodeData!$F16-NodeData!$F16)*UAV_Params!$B$12),0))</f>
        <v>0</v>
      </c>
      <c r="P16" s="16">
        <f>IF($A16=P$3,0,ROUND(SQRT((NodeData!$D16-NodeData!$D17)^2+(NodeData!$E16-NodeData!$E17)^2)*UAV_Params!$B$10+IF(NodeData!$F17&gt;=NodeData!$F16,(NodeData!$F17-NodeData!$F16)*UAV_Params!$B$11,(NodeData!$F16-NodeData!$F17)*UAV_Params!$B$12),0))</f>
        <v>3652</v>
      </c>
      <c r="Q16" s="16">
        <f>IF($A16=Q$3,0,ROUND(SQRT((NodeData!$D16-NodeData!$D18)^2+(NodeData!$E16-NodeData!$E18)^2)*UAV_Params!$B$10+IF(NodeData!$F18&gt;=NodeData!$F16,(NodeData!$F18-NodeData!$F16)*UAV_Params!$B$11,(NodeData!$F16-NodeData!$F18)*UAV_Params!$B$12),0))</f>
        <v>3787</v>
      </c>
      <c r="R16" s="16">
        <f>IF($A16=R$3,0,ROUND(SQRT((NodeData!$D16-NodeData!$D19)^2+(NodeData!$E16-NodeData!$E19)^2)*UAV_Params!$B$10+IF(NodeData!$F19&gt;=NodeData!$F16,(NodeData!$F19-NodeData!$F16)*UAV_Params!$B$11,(NodeData!$F16-NodeData!$F19)*UAV_Params!$B$12),0))</f>
        <v>5729</v>
      </c>
      <c r="S16" s="16">
        <f>IF($A16=S$3,0,ROUND(SQRT((NodeData!$D16-NodeData!$D20)^2+(NodeData!$E16-NodeData!$E20)^2)*UAV_Params!$B$10+IF(NodeData!$F20&gt;=NodeData!$F16,(NodeData!$F20-NodeData!$F16)*UAV_Params!$B$11,(NodeData!$F16-NodeData!$F20)*UAV_Params!$B$12),0))</f>
        <v>6145</v>
      </c>
    </row>
    <row r="17" ht="16.5" customHeight="1" spans="1:19">
      <c r="A17" s="18">
        <v>13</v>
      </c>
      <c r="B17" s="17" t="s">
        <v>148</v>
      </c>
      <c r="C17" s="16">
        <f>IF($A17=C$3,0,ROUND(SQRT((NodeData!$D17-NodeData!$D4)^2+(NodeData!$E17-NodeData!$E4)^2)*UAV_Params!$B$10+IF(NodeData!$F4&gt;=NodeData!$F17,(NodeData!$F4-NodeData!$F17)*UAV_Params!$B$11,(NodeData!$F17-NodeData!$F4)*UAV_Params!$B$12),0))</f>
        <v>2845</v>
      </c>
      <c r="D17" s="16">
        <f>IF($A17=D$3,0,ROUND(SQRT((NodeData!$D17-NodeData!$D5)^2+(NodeData!$E17-NodeData!$E5)^2)*UAV_Params!$B$10+IF(NodeData!$F5&gt;=NodeData!$F17,(NodeData!$F5-NodeData!$F17)*UAV_Params!$B$11,(NodeData!$F17-NodeData!$F5)*UAV_Params!$B$12),0))</f>
        <v>4375</v>
      </c>
      <c r="E17" s="16">
        <f>IF($A17=E$3,0,ROUND(SQRT((NodeData!$D17-NodeData!$D6)^2+(NodeData!$E17-NodeData!$E6)^2)*UAV_Params!$B$10+IF(NodeData!$F6&gt;=NodeData!$F17,(NodeData!$F6-NodeData!$F17)*UAV_Params!$B$11,(NodeData!$F17-NodeData!$F6)*UAV_Params!$B$12),0))</f>
        <v>4187</v>
      </c>
      <c r="F17" s="16">
        <f>IF($A17=F$3,0,ROUND(SQRT((NodeData!$D17-NodeData!$D7)^2+(NodeData!$E17-NodeData!$E7)^2)*UAV_Params!$B$10+IF(NodeData!$F7&gt;=NodeData!$F17,(NodeData!$F7-NodeData!$F17)*UAV_Params!$B$11,(NodeData!$F17-NodeData!$F7)*UAV_Params!$B$12),0))</f>
        <v>4049</v>
      </c>
      <c r="G17" s="16">
        <f>IF($A17=G$3,0,ROUND(SQRT((NodeData!$D17-NodeData!$D8)^2+(NodeData!$E17-NodeData!$E8)^2)*UAV_Params!$B$10+IF(NodeData!$F8&gt;=NodeData!$F17,(NodeData!$F8-NodeData!$F17)*UAV_Params!$B$11,(NodeData!$F17-NodeData!$F8)*UAV_Params!$B$12),0))</f>
        <v>5110</v>
      </c>
      <c r="H17" s="16">
        <f>IF($A17=H$3,0,ROUND(SQRT((NodeData!$D17-NodeData!$D9)^2+(NodeData!$E17-NodeData!$E9)^2)*UAV_Params!$B$10+IF(NodeData!$F9&gt;=NodeData!$F17,(NodeData!$F9-NodeData!$F17)*UAV_Params!$B$11,(NodeData!$F17-NodeData!$F9)*UAV_Params!$B$12),0))</f>
        <v>5117</v>
      </c>
      <c r="I17" s="16">
        <f>IF($A17=I$3,0,ROUND(SQRT((NodeData!$D17-NodeData!$D10)^2+(NodeData!$E17-NodeData!$E10)^2)*UAV_Params!$B$10+IF(NodeData!$F10&gt;=NodeData!$F17,(NodeData!$F10-NodeData!$F17)*UAV_Params!$B$11,(NodeData!$F17-NodeData!$F10)*UAV_Params!$B$12),0))</f>
        <v>5378</v>
      </c>
      <c r="J17" s="16">
        <f>IF($A17=J$3,0,ROUND(SQRT((NodeData!$D17-NodeData!$D11)^2+(NodeData!$E17-NodeData!$E11)^2)*UAV_Params!$B$10+IF(NodeData!$F11&gt;=NodeData!$F17,(NodeData!$F11-NodeData!$F17)*UAV_Params!$B$11,(NodeData!$F17-NodeData!$F11)*UAV_Params!$B$12),0))</f>
        <v>6020</v>
      </c>
      <c r="K17" s="16">
        <f>IF($A17=K$3,0,ROUND(SQRT((NodeData!$D17-NodeData!$D12)^2+(NodeData!$E17-NodeData!$E12)^2)*UAV_Params!$B$10+IF(NodeData!$F12&gt;=NodeData!$F17,(NodeData!$F12-NodeData!$F17)*UAV_Params!$B$11,(NodeData!$F17-NodeData!$F12)*UAV_Params!$B$12),0))</f>
        <v>6029</v>
      </c>
      <c r="L17" s="16">
        <f>IF($A17=L$3,0,ROUND(SQRT((NodeData!$D17-NodeData!$D13)^2+(NodeData!$E17-NodeData!$E13)^2)*UAV_Params!$B$10+IF(NodeData!$F13&gt;=NodeData!$F17,(NodeData!$F13-NodeData!$F17)*UAV_Params!$B$11,(NodeData!$F17-NodeData!$F13)*UAV_Params!$B$12),0))</f>
        <v>4384</v>
      </c>
      <c r="M17" s="16">
        <f>IF($A17=M$3,0,ROUND(SQRT((NodeData!$D17-NodeData!$D14)^2+(NodeData!$E17-NodeData!$E14)^2)*UAV_Params!$B$10+IF(NodeData!$F14&gt;=NodeData!$F17,(NodeData!$F14-NodeData!$F17)*UAV_Params!$B$11,(NodeData!$F17-NodeData!$F14)*UAV_Params!$B$12),0))</f>
        <v>4436</v>
      </c>
      <c r="N17" s="16">
        <f>IF($A17=N$3,0,ROUND(SQRT((NodeData!$D17-NodeData!$D15)^2+(NodeData!$E17-NodeData!$E15)^2)*UAV_Params!$B$10+IF(NodeData!$F15&gt;=NodeData!$F17,(NodeData!$F15-NodeData!$F17)*UAV_Params!$B$11,(NodeData!$F17-NodeData!$F15)*UAV_Params!$B$12),0))</f>
        <v>3488</v>
      </c>
      <c r="O17" s="16">
        <f>IF($A17=O$3,0,ROUND(SQRT((NodeData!$D17-NodeData!$D16)^2+(NodeData!$E17-NodeData!$E16)^2)*UAV_Params!$B$10+IF(NodeData!$F16&gt;=NodeData!$F17,(NodeData!$F16-NodeData!$F17)*UAV_Params!$B$11,(NodeData!$F17-NodeData!$F16)*UAV_Params!$B$12),0))</f>
        <v>3520</v>
      </c>
      <c r="P17" s="16">
        <f>IF($A17=P$3,0,ROUND(SQRT((NodeData!$D17-NodeData!$D17)^2+(NodeData!$E17-NodeData!$E17)^2)*UAV_Params!$B$10+IF(NodeData!$F17&gt;=NodeData!$F17,(NodeData!$F17-NodeData!$F17)*UAV_Params!$B$11,(NodeData!$F17-NodeData!$F17)*UAV_Params!$B$12),0))</f>
        <v>0</v>
      </c>
      <c r="Q17" s="16">
        <f>IF($A17=Q$3,0,ROUND(SQRT((NodeData!$D17-NodeData!$D18)^2+(NodeData!$E17-NodeData!$E18)^2)*UAV_Params!$B$10+IF(NodeData!$F18&gt;=NodeData!$F17,(NodeData!$F18-NodeData!$F17)*UAV_Params!$B$11,(NodeData!$F17-NodeData!$F18)*UAV_Params!$B$12),0))</f>
        <v>376</v>
      </c>
      <c r="R17" s="16">
        <f>IF($A17=R$3,0,ROUND(SQRT((NodeData!$D17-NodeData!$D19)^2+(NodeData!$E17-NodeData!$E19)^2)*UAV_Params!$B$10+IF(NodeData!$F19&gt;=NodeData!$F17,(NodeData!$F19-NodeData!$F17)*UAV_Params!$B$11,(NodeData!$F17-NodeData!$F19)*UAV_Params!$B$12),0))</f>
        <v>2149</v>
      </c>
      <c r="S17" s="16">
        <f>IF($A17=S$3,0,ROUND(SQRT((NodeData!$D17-NodeData!$D20)^2+(NodeData!$E17-NodeData!$E20)^2)*UAV_Params!$B$10+IF(NodeData!$F20&gt;=NodeData!$F17,(NodeData!$F20-NodeData!$F17)*UAV_Params!$B$11,(NodeData!$F17-NodeData!$F20)*UAV_Params!$B$12),0))</f>
        <v>2495</v>
      </c>
    </row>
    <row r="18" ht="16.5" customHeight="1" spans="1:19">
      <c r="A18" s="18">
        <v>14</v>
      </c>
      <c r="B18" s="17" t="s">
        <v>152</v>
      </c>
      <c r="C18" s="16">
        <f>IF($A18=C$3,0,ROUND(SQRT((NodeData!$D18-NodeData!$D4)^2+(NodeData!$E18-NodeData!$E4)^2)*UAV_Params!$B$10+IF(NodeData!$F4&gt;=NodeData!$F18,(NodeData!$F4-NodeData!$F18)*UAV_Params!$B$11,(NodeData!$F18-NodeData!$F4)*UAV_Params!$B$12),0))</f>
        <v>3055</v>
      </c>
      <c r="D18" s="16">
        <f>IF($A18=D$3,0,ROUND(SQRT((NodeData!$D18-NodeData!$D5)^2+(NodeData!$E18-NodeData!$E5)^2)*UAV_Params!$B$10+IF(NodeData!$F5&gt;=NodeData!$F18,(NodeData!$F5-NodeData!$F18)*UAV_Params!$B$11,(NodeData!$F18-NodeData!$F5)*UAV_Params!$B$12),0))</f>
        <v>4446</v>
      </c>
      <c r="E18" s="16">
        <f>IF($A18=E$3,0,ROUND(SQRT((NodeData!$D18-NodeData!$D6)^2+(NodeData!$E18-NodeData!$E6)^2)*UAV_Params!$B$10+IF(NodeData!$F6&gt;=NodeData!$F18,(NodeData!$F6-NodeData!$F18)*UAV_Params!$B$11,(NodeData!$F18-NodeData!$F6)*UAV_Params!$B$12),0))</f>
        <v>4473</v>
      </c>
      <c r="F18" s="16">
        <f>IF($A18=F$3,0,ROUND(SQRT((NodeData!$D18-NodeData!$D7)^2+(NodeData!$E18-NodeData!$E7)^2)*UAV_Params!$B$10+IF(NodeData!$F7&gt;=NodeData!$F18,(NodeData!$F7-NodeData!$F18)*UAV_Params!$B$11,(NodeData!$F18-NodeData!$F7)*UAV_Params!$B$12),0))</f>
        <v>4349</v>
      </c>
      <c r="G18" s="16">
        <f>IF($A18=G$3,0,ROUND(SQRT((NodeData!$D18-NodeData!$D8)^2+(NodeData!$E18-NodeData!$E8)^2)*UAV_Params!$B$10+IF(NodeData!$F8&gt;=NodeData!$F18,(NodeData!$F8-NodeData!$F18)*UAV_Params!$B$11,(NodeData!$F18-NodeData!$F8)*UAV_Params!$B$12),0))</f>
        <v>5329</v>
      </c>
      <c r="H18" s="16">
        <f>IF($A18=H$3,0,ROUND(SQRT((NodeData!$D18-NodeData!$D9)^2+(NodeData!$E18-NodeData!$E9)^2)*UAV_Params!$B$10+IF(NodeData!$F9&gt;=NodeData!$F18,(NodeData!$F9-NodeData!$F18)*UAV_Params!$B$11,(NodeData!$F18-NodeData!$F9)*UAV_Params!$B$12),0))</f>
        <v>5465</v>
      </c>
      <c r="I18" s="16">
        <f>IF($A18=I$3,0,ROUND(SQRT((NodeData!$D18-NodeData!$D10)^2+(NodeData!$E18-NodeData!$E10)^2)*UAV_Params!$B$10+IF(NodeData!$F10&gt;=NodeData!$F18,(NodeData!$F10-NodeData!$F18)*UAV_Params!$B$11,(NodeData!$F18-NodeData!$F10)*UAV_Params!$B$12),0))</f>
        <v>5535</v>
      </c>
      <c r="J18" s="16">
        <f>IF($A18=J$3,0,ROUND(SQRT((NodeData!$D18-NodeData!$D11)^2+(NodeData!$E18-NodeData!$E11)^2)*UAV_Params!$B$10+IF(NodeData!$F11&gt;=NodeData!$F18,(NodeData!$F11-NodeData!$F18)*UAV_Params!$B$11,(NodeData!$F18-NodeData!$F11)*UAV_Params!$B$12),0))</f>
        <v>6359</v>
      </c>
      <c r="K18" s="16">
        <f>IF($A18=K$3,0,ROUND(SQRT((NodeData!$D18-NodeData!$D12)^2+(NodeData!$E18-NodeData!$E12)^2)*UAV_Params!$B$10+IF(NodeData!$F12&gt;=NodeData!$F18,(NodeData!$F12-NodeData!$F18)*UAV_Params!$B$11,(NodeData!$F18-NodeData!$F12)*UAV_Params!$B$12),0))</f>
        <v>6434</v>
      </c>
      <c r="L18" s="16">
        <f>IF($A18=L$3,0,ROUND(SQRT((NodeData!$D18-NodeData!$D13)^2+(NodeData!$E18-NodeData!$E13)^2)*UAV_Params!$B$10+IF(NodeData!$F13&gt;=NodeData!$F18,(NodeData!$F13-NodeData!$F18)*UAV_Params!$B$11,(NodeData!$F18-NodeData!$F13)*UAV_Params!$B$12),0))</f>
        <v>4616</v>
      </c>
      <c r="M18" s="16">
        <f>IF($A18=M$3,0,ROUND(SQRT((NodeData!$D18-NodeData!$D14)^2+(NodeData!$E18-NodeData!$E14)^2)*UAV_Params!$B$10+IF(NodeData!$F14&gt;=NodeData!$F18,(NodeData!$F14-NodeData!$F18)*UAV_Params!$B$11,(NodeData!$F18-NodeData!$F14)*UAV_Params!$B$12),0))</f>
        <v>4878</v>
      </c>
      <c r="N18" s="16">
        <f>IF($A18=N$3,0,ROUND(SQRT((NodeData!$D18-NodeData!$D15)^2+(NodeData!$E18-NodeData!$E15)^2)*UAV_Params!$B$10+IF(NodeData!$F15&gt;=NodeData!$F18,(NodeData!$F15-NodeData!$F18)*UAV_Params!$B$11,(NodeData!$F18-NodeData!$F15)*UAV_Params!$B$12),0))</f>
        <v>3888</v>
      </c>
      <c r="O18" s="16">
        <f>IF($A18=O$3,0,ROUND(SQRT((NodeData!$D18-NodeData!$D16)^2+(NodeData!$E18-NodeData!$E16)^2)*UAV_Params!$B$10+IF(NodeData!$F16&gt;=NodeData!$F18,(NodeData!$F16-NodeData!$F18)*UAV_Params!$B$11,(NodeData!$F18-NodeData!$F16)*UAV_Params!$B$12),0))</f>
        <v>3721</v>
      </c>
      <c r="P18" s="16">
        <f>IF($A18=P$3,0,ROUND(SQRT((NodeData!$D18-NodeData!$D17)^2+(NodeData!$E18-NodeData!$E17)^2)*UAV_Params!$B$10+IF(NodeData!$F17&gt;=NodeData!$F18,(NodeData!$F17-NodeData!$F18)*UAV_Params!$B$11,(NodeData!$F18-NodeData!$F17)*UAV_Params!$B$12),0))</f>
        <v>442</v>
      </c>
      <c r="Q18" s="16">
        <f>IF($A18=Q$3,0,ROUND(SQRT((NodeData!$D18-NodeData!$D18)^2+(NodeData!$E18-NodeData!$E18)^2)*UAV_Params!$B$10+IF(NodeData!$F18&gt;=NodeData!$F18,(NodeData!$F18-NodeData!$F18)*UAV_Params!$B$11,(NodeData!$F18-NodeData!$F18)*UAV_Params!$B$12),0))</f>
        <v>0</v>
      </c>
      <c r="R18" s="16">
        <f>IF($A18=R$3,0,ROUND(SQRT((NodeData!$D18-NodeData!$D19)^2+(NodeData!$E18-NodeData!$E19)^2)*UAV_Params!$B$10+IF(NodeData!$F19&gt;=NodeData!$F18,(NodeData!$F19-NodeData!$F18)*UAV_Params!$B$11,(NodeData!$F18-NodeData!$F19)*UAV_Params!$B$12),0))</f>
        <v>1943</v>
      </c>
      <c r="S18" s="16">
        <f>IF($A18=S$3,0,ROUND(SQRT((NodeData!$D18-NodeData!$D20)^2+(NodeData!$E18-NodeData!$E20)^2)*UAV_Params!$B$10+IF(NodeData!$F20&gt;=NodeData!$F18,(NodeData!$F20-NodeData!$F18)*UAV_Params!$B$11,(NodeData!$F18-NodeData!$F20)*UAV_Params!$B$12),0))</f>
        <v>2377</v>
      </c>
    </row>
    <row r="19" ht="16.5" customHeight="1" spans="1:19">
      <c r="A19" s="18">
        <v>15</v>
      </c>
      <c r="B19" s="17" t="s">
        <v>156</v>
      </c>
      <c r="C19" s="16">
        <f>IF($A19=C$3,0,ROUND(SQRT((NodeData!$D19-NodeData!$D4)^2+(NodeData!$E19-NodeData!$E4)^2)*UAV_Params!$B$10+IF(NodeData!$F4&gt;=NodeData!$F19,(NodeData!$F4-NodeData!$F19)*UAV_Params!$B$11,(NodeData!$F19-NodeData!$F4)*UAV_Params!$B$12),0))</f>
        <v>4562</v>
      </c>
      <c r="D19" s="16">
        <f>IF($A19=D$3,0,ROUND(SQRT((NodeData!$D19-NodeData!$D5)^2+(NodeData!$E19-NodeData!$E5)^2)*UAV_Params!$B$10+IF(NodeData!$F5&gt;=NodeData!$F19,(NodeData!$F5-NodeData!$F19)*UAV_Params!$B$11,(NodeData!$F19-NodeData!$F5)*UAV_Params!$B$12),0))</f>
        <v>4937</v>
      </c>
      <c r="E19" s="16">
        <f>IF($A19=E$3,0,ROUND(SQRT((NodeData!$D19-NodeData!$D6)^2+(NodeData!$E19-NodeData!$E6)^2)*UAV_Params!$B$10+IF(NodeData!$F6&gt;=NodeData!$F19,(NodeData!$F6-NodeData!$F19)*UAV_Params!$B$11,(NodeData!$F19-NodeData!$F6)*UAV_Params!$B$12),0))</f>
        <v>4877</v>
      </c>
      <c r="F19" s="16">
        <f>IF($A19=F$3,0,ROUND(SQRT((NodeData!$D19-NodeData!$D7)^2+(NodeData!$E19-NodeData!$E7)^2)*UAV_Params!$B$10+IF(NodeData!$F7&gt;=NodeData!$F19,(NodeData!$F7-NodeData!$F19)*UAV_Params!$B$11,(NodeData!$F19-NodeData!$F7)*UAV_Params!$B$12),0))</f>
        <v>4835</v>
      </c>
      <c r="G19" s="16">
        <f>IF($A19=G$3,0,ROUND(SQRT((NodeData!$D19-NodeData!$D8)^2+(NodeData!$E19-NodeData!$E8)^2)*UAV_Params!$B$10+IF(NodeData!$F8&gt;=NodeData!$F19,(NodeData!$F8-NodeData!$F19)*UAV_Params!$B$11,(NodeData!$F19-NodeData!$F8)*UAV_Params!$B$12),0))</f>
        <v>6195</v>
      </c>
      <c r="H19" s="16">
        <f>IF($A19=H$3,0,ROUND(SQRT((NodeData!$D19-NodeData!$D9)^2+(NodeData!$E19-NodeData!$E9)^2)*UAV_Params!$B$10+IF(NodeData!$F9&gt;=NodeData!$F19,(NodeData!$F9-NodeData!$F19)*UAV_Params!$B$11,(NodeData!$F19-NodeData!$F9)*UAV_Params!$B$12),0))</f>
        <v>6200</v>
      </c>
      <c r="I19" s="16">
        <f>IF($A19=I$3,0,ROUND(SQRT((NodeData!$D19-NodeData!$D10)^2+(NodeData!$E19-NodeData!$E10)^2)*UAV_Params!$B$10+IF(NodeData!$F10&gt;=NodeData!$F19,(NodeData!$F10-NodeData!$F19)*UAV_Params!$B$11,(NodeData!$F19-NodeData!$F10)*UAV_Params!$B$12),0))</f>
        <v>6527</v>
      </c>
      <c r="J19" s="16">
        <f>IF($A19=J$3,0,ROUND(SQRT((NodeData!$D19-NodeData!$D11)^2+(NodeData!$E19-NodeData!$E11)^2)*UAV_Params!$B$10+IF(NodeData!$F11&gt;=NodeData!$F19,(NodeData!$F11-NodeData!$F19)*UAV_Params!$B$11,(NodeData!$F19-NodeData!$F11)*UAV_Params!$B$12),0))</f>
        <v>7513</v>
      </c>
      <c r="K19" s="16">
        <f>IF($A19=K$3,0,ROUND(SQRT((NodeData!$D19-NodeData!$D12)^2+(NodeData!$E19-NodeData!$E12)^2)*UAV_Params!$B$10+IF(NodeData!$F12&gt;=NodeData!$F19,(NodeData!$F12-NodeData!$F19)*UAV_Params!$B$11,(NodeData!$F19-NodeData!$F12)*UAV_Params!$B$12),0))</f>
        <v>7557</v>
      </c>
      <c r="L19" s="16">
        <f>IF($A19=L$3,0,ROUND(SQRT((NodeData!$D19-NodeData!$D13)^2+(NodeData!$E19-NodeData!$E13)^2)*UAV_Params!$B$10+IF(NodeData!$F13&gt;=NodeData!$F19,(NodeData!$F13-NodeData!$F19)*UAV_Params!$B$11,(NodeData!$F19-NodeData!$F13)*UAV_Params!$B$12),0))</f>
        <v>6378</v>
      </c>
      <c r="M19" s="16">
        <f>IF($A19=M$3,0,ROUND(SQRT((NodeData!$D19-NodeData!$D14)^2+(NodeData!$E19-NodeData!$E14)^2)*UAV_Params!$B$10+IF(NodeData!$F14&gt;=NodeData!$F19,(NodeData!$F14-NodeData!$F19)*UAV_Params!$B$11,(NodeData!$F19-NodeData!$F14)*UAV_Params!$B$12),0))</f>
        <v>6464</v>
      </c>
      <c r="N19" s="16">
        <f>IF($A19=N$3,0,ROUND(SQRT((NodeData!$D19-NodeData!$D15)^2+(NodeData!$E19-NodeData!$E15)^2)*UAV_Params!$B$10+IF(NodeData!$F15&gt;=NodeData!$F19,(NodeData!$F15-NodeData!$F19)*UAV_Params!$B$11,(NodeData!$F19-NodeData!$F15)*UAV_Params!$B$12),0))</f>
        <v>5646</v>
      </c>
      <c r="O19" s="16">
        <f>IF($A19=O$3,0,ROUND(SQRT((NodeData!$D19-NodeData!$D16)^2+(NodeData!$E19-NodeData!$E16)^2)*UAV_Params!$B$10+IF(NodeData!$F16&gt;=NodeData!$F19,(NodeData!$F16-NodeData!$F19)*UAV_Params!$B$11,(NodeData!$F19-NodeData!$F16)*UAV_Params!$B$12),0))</f>
        <v>5619</v>
      </c>
      <c r="P19" s="16">
        <f>IF($A19=P$3,0,ROUND(SQRT((NodeData!$D19-NodeData!$D17)^2+(NodeData!$E19-NodeData!$E17)^2)*UAV_Params!$B$10+IF(NodeData!$F17&gt;=NodeData!$F19,(NodeData!$F17-NodeData!$F19)*UAV_Params!$B$11,(NodeData!$F19-NodeData!$F17)*UAV_Params!$B$12),0))</f>
        <v>2171</v>
      </c>
      <c r="Q19" s="16">
        <f>IF($A19=Q$3,0,ROUND(SQRT((NodeData!$D19-NodeData!$D18)^2+(NodeData!$E19-NodeData!$E18)^2)*UAV_Params!$B$10+IF(NodeData!$F18&gt;=NodeData!$F19,(NodeData!$F18-NodeData!$F19)*UAV_Params!$B$11,(NodeData!$F19-NodeData!$F18)*UAV_Params!$B$12),0))</f>
        <v>1899</v>
      </c>
      <c r="R19" s="16">
        <f>IF($A19=R$3,0,ROUND(SQRT((NodeData!$D19-NodeData!$D19)^2+(NodeData!$E19-NodeData!$E19)^2)*UAV_Params!$B$10+IF(NodeData!$F19&gt;=NodeData!$F19,(NodeData!$F19-NodeData!$F19)*UAV_Params!$B$11,(NodeData!$F19-NodeData!$F19)*UAV_Params!$B$12),0))</f>
        <v>0</v>
      </c>
      <c r="S19" s="16">
        <f>IF($A19=S$3,0,ROUND(SQRT((NodeData!$D19-NodeData!$D20)^2+(NodeData!$E19-NodeData!$E20)^2)*UAV_Params!$B$10+IF(NodeData!$F20&gt;=NodeData!$F19,(NodeData!$F20-NodeData!$F19)*UAV_Params!$B$11,(NodeData!$F19-NodeData!$F20)*UAV_Params!$B$12),0))</f>
        <v>580</v>
      </c>
    </row>
    <row r="20" ht="16.5" customHeight="1" spans="1:19">
      <c r="A20" s="18">
        <v>16</v>
      </c>
      <c r="B20" s="17" t="s">
        <v>160</v>
      </c>
      <c r="C20" s="16">
        <f>IF($A20=C$3,0,ROUND(SQRT((NodeData!$D20-NodeData!$D4)^2+(NodeData!$E20-NodeData!$E4)^2)*UAV_Params!$B$10+IF(NodeData!$F4&gt;=NodeData!$F20,(NodeData!$F4-NodeData!$F20)*UAV_Params!$B$11,(NodeData!$F20-NodeData!$F4)*UAV_Params!$B$12),0))</f>
        <v>4706</v>
      </c>
      <c r="D20" s="16">
        <f>IF($A20=D$3,0,ROUND(SQRT((NodeData!$D20-NodeData!$D5)^2+(NodeData!$E20-NodeData!$E5)^2)*UAV_Params!$B$10+IF(NodeData!$F5&gt;=NodeData!$F20,(NodeData!$F5-NodeData!$F20)*UAV_Params!$B$11,(NodeData!$F20-NodeData!$F5)*UAV_Params!$B$12),0))</f>
        <v>4901</v>
      </c>
      <c r="E20" s="16">
        <f>IF($A20=E$3,0,ROUND(SQRT((NodeData!$D20-NodeData!$D6)^2+(NodeData!$E20-NodeData!$E6)^2)*UAV_Params!$B$10+IF(NodeData!$F6&gt;=NodeData!$F20,(NodeData!$F6-NodeData!$F20)*UAV_Params!$B$11,(NodeData!$F20-NodeData!$F6)*UAV_Params!$B$12),0))</f>
        <v>4535</v>
      </c>
      <c r="F20" s="16">
        <f>IF($A20=F$3,0,ROUND(SQRT((NodeData!$D20-NodeData!$D7)^2+(NodeData!$E20-NodeData!$E7)^2)*UAV_Params!$B$10+IF(NodeData!$F7&gt;=NodeData!$F20,(NodeData!$F7-NodeData!$F20)*UAV_Params!$B$11,(NodeData!$F20-NodeData!$F7)*UAV_Params!$B$12),0))</f>
        <v>4748</v>
      </c>
      <c r="G20" s="16">
        <f>IF($A20=G$3,0,ROUND(SQRT((NodeData!$D20-NodeData!$D8)^2+(NodeData!$E20-NodeData!$E8)^2)*UAV_Params!$B$10+IF(NodeData!$F8&gt;=NodeData!$F20,(NodeData!$F8-NodeData!$F20)*UAV_Params!$B$11,(NodeData!$F20-NodeData!$F8)*UAV_Params!$B$12),0))</f>
        <v>6212</v>
      </c>
      <c r="H20" s="16">
        <f>IF($A20=H$3,0,ROUND(SQRT((NodeData!$D20-NodeData!$D9)^2+(NodeData!$E20-NodeData!$E9)^2)*UAV_Params!$B$10+IF(NodeData!$F9&gt;=NodeData!$F20,(NodeData!$F9-NodeData!$F20)*UAV_Params!$B$11,(NodeData!$F20-NodeData!$F9)*UAV_Params!$B$12),0))</f>
        <v>5789</v>
      </c>
      <c r="I20" s="16">
        <f>IF($A20=I$3,0,ROUND(SQRT((NodeData!$D20-NodeData!$D10)^2+(NodeData!$E20-NodeData!$E10)^2)*UAV_Params!$B$10+IF(NodeData!$F10&gt;=NodeData!$F20,(NodeData!$F10-NodeData!$F20)*UAV_Params!$B$11,(NodeData!$F20-NodeData!$F10)*UAV_Params!$B$12),0))</f>
        <v>6550</v>
      </c>
      <c r="J20" s="16">
        <f>IF($A20=J$3,0,ROUND(SQRT((NodeData!$D20-NodeData!$D11)^2+(NodeData!$E20-NodeData!$E11)^2)*UAV_Params!$B$10+IF(NodeData!$F11&gt;=NodeData!$F20,(NodeData!$F11-NodeData!$F20)*UAV_Params!$B$11,(NodeData!$F20-NodeData!$F11)*UAV_Params!$B$12),0))</f>
        <v>7585</v>
      </c>
      <c r="K20" s="16">
        <f>IF($A20=K$3,0,ROUND(SQRT((NodeData!$D20-NodeData!$D12)^2+(NodeData!$E20-NodeData!$E12)^2)*UAV_Params!$B$10+IF(NodeData!$F12&gt;=NodeData!$F20,(NodeData!$F12-NodeData!$F20)*UAV_Params!$B$11,(NodeData!$F20-NodeData!$F12)*UAV_Params!$B$12),0))</f>
        <v>7204</v>
      </c>
      <c r="L20" s="16">
        <f>IF($A20=L$3,0,ROUND(SQRT((NodeData!$D20-NodeData!$D13)^2+(NodeData!$E20-NodeData!$E13)^2)*UAV_Params!$B$10+IF(NodeData!$F13&gt;=NodeData!$F20,(NodeData!$F13-NodeData!$F20)*UAV_Params!$B$11,(NodeData!$F20-NodeData!$F13)*UAV_Params!$B$12),0))</f>
        <v>6574</v>
      </c>
      <c r="M20" s="16">
        <f>IF($A20=M$3,0,ROUND(SQRT((NodeData!$D20-NodeData!$D14)^2+(NodeData!$E20-NodeData!$E14)^2)*UAV_Params!$B$10+IF(NodeData!$F14&gt;=NodeData!$F20,(NodeData!$F14-NodeData!$F20)*UAV_Params!$B$11,(NodeData!$F20-NodeData!$F14)*UAV_Params!$B$12),0))</f>
        <v>6369</v>
      </c>
      <c r="N20" s="16">
        <f>IF($A20=N$3,0,ROUND(SQRT((NodeData!$D20-NodeData!$D15)^2+(NodeData!$E20-NodeData!$E15)^2)*UAV_Params!$B$10+IF(NodeData!$F15&gt;=NodeData!$F20,(NodeData!$F15-NodeData!$F20)*UAV_Params!$B$11,(NodeData!$F20-NodeData!$F15)*UAV_Params!$B$12),0))</f>
        <v>5837</v>
      </c>
      <c r="O20" s="16">
        <f>IF($A20=O$3,0,ROUND(SQRT((NodeData!$D20-NodeData!$D16)^2+(NodeData!$E20-NodeData!$E16)^2)*UAV_Params!$B$10+IF(NodeData!$F16&gt;=NodeData!$F20,(NodeData!$F16-NodeData!$F20)*UAV_Params!$B$11,(NodeData!$F20-NodeData!$F16)*UAV_Params!$B$12),0))</f>
        <v>5903</v>
      </c>
      <c r="P20" s="16">
        <f>IF($A20=P$3,0,ROUND(SQRT((NodeData!$D20-NodeData!$D17)^2+(NodeData!$E20-NodeData!$E17)^2)*UAV_Params!$B$10+IF(NodeData!$F17&gt;=NodeData!$F20,(NodeData!$F17-NodeData!$F20)*UAV_Params!$B$11,(NodeData!$F20-NodeData!$F17)*UAV_Params!$B$12),0))</f>
        <v>2385</v>
      </c>
      <c r="Q20" s="16">
        <f>IF($A20=Q$3,0,ROUND(SQRT((NodeData!$D20-NodeData!$D18)^2+(NodeData!$E20-NodeData!$E18)^2)*UAV_Params!$B$10+IF(NodeData!$F18&gt;=NodeData!$F20,(NodeData!$F18-NodeData!$F20)*UAV_Params!$B$11,(NodeData!$F20-NodeData!$F18)*UAV_Params!$B$12),0))</f>
        <v>2201</v>
      </c>
      <c r="R20" s="16">
        <f>IF($A20=R$3,0,ROUND(SQRT((NodeData!$D20-NodeData!$D19)^2+(NodeData!$E20-NodeData!$E19)^2)*UAV_Params!$B$10+IF(NodeData!$F19&gt;=NodeData!$F20,(NodeData!$F19-NodeData!$F20)*UAV_Params!$B$11,(NodeData!$F20-NodeData!$F19)*UAV_Params!$B$12),0))</f>
        <v>448</v>
      </c>
      <c r="S20" s="16">
        <f>IF($A20=S$3,0,ROUND(SQRT((NodeData!$D20-NodeData!$D20)^2+(NodeData!$E20-NodeData!$E20)^2)*UAV_Params!$B$10+IF(NodeData!$F20&gt;=NodeData!$F20,(NodeData!$F20-NodeData!$F20)*UAV_Params!$B$11,(NodeData!$F20-NodeData!$F20)*UAV_Params!$B$12),0))</f>
        <v>0</v>
      </c>
    </row>
  </sheetData>
  <mergeCells count="1">
    <mergeCell ref="A1:S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workbookViewId="0">
      <selection activeCell="A1" sqref="A1:S1"/>
    </sheetView>
  </sheetViews>
  <sheetFormatPr defaultColWidth="8.68181818181818" defaultRowHeight="15" customHeight="1"/>
  <cols>
    <col min="1" max="1" width="12" style="1" customWidth="1"/>
    <col min="2" max="2" width="24" style="1" customWidth="1"/>
    <col min="3" max="19" width="8" style="1" customWidth="1"/>
  </cols>
  <sheetData>
    <row r="1" ht="15.75" customHeight="1" spans="1:19">
      <c r="A1" s="6" t="s">
        <v>189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customHeight="1" spans="1:19">
      <c r="A3" s="13" t="s">
        <v>186</v>
      </c>
      <c r="B3" s="13" t="s">
        <v>187</v>
      </c>
      <c r="C3" s="13" t="s">
        <v>94</v>
      </c>
      <c r="D3" s="13" t="s">
        <v>100</v>
      </c>
      <c r="E3" s="13" t="s">
        <v>105</v>
      </c>
      <c r="F3" s="13" t="s">
        <v>110</v>
      </c>
      <c r="G3" s="13" t="s">
        <v>115</v>
      </c>
      <c r="H3" s="13" t="s">
        <v>118</v>
      </c>
      <c r="I3" s="13" t="s">
        <v>122</v>
      </c>
      <c r="J3" s="13" t="s">
        <v>127</v>
      </c>
      <c r="K3" s="13" t="s">
        <v>131</v>
      </c>
      <c r="L3" s="13" t="s">
        <v>135</v>
      </c>
      <c r="M3" s="13" t="s">
        <v>138</v>
      </c>
      <c r="N3" s="13" t="s">
        <v>143</v>
      </c>
      <c r="O3" s="13" t="s">
        <v>146</v>
      </c>
      <c r="P3" s="13" t="s">
        <v>150</v>
      </c>
      <c r="Q3" s="13" t="s">
        <v>154</v>
      </c>
      <c r="R3" s="13" t="s">
        <v>158</v>
      </c>
      <c r="S3" s="13" t="s">
        <v>162</v>
      </c>
    </row>
    <row r="4" customHeight="1" spans="1:19">
      <c r="A4" s="14" t="s">
        <v>94</v>
      </c>
      <c r="B4" s="15" t="s">
        <v>168</v>
      </c>
      <c r="C4" s="16">
        <f>IF($A4=C$3,0,ROUND(UAV_Params!$B$17*SQRT((ManualPoints!$C4-ManualPoints!$C4)^2+(ManualPoints!$D4-ManualPoints!$D4)^2)/UAV_Params!$B$16,0))</f>
        <v>0</v>
      </c>
      <c r="D4" s="16">
        <f>IF($A4=D$3,0,ROUND(UAV_Params!$B$17*SQRT((ManualPoints!$C4-ManualPoints!$C5)^2+(ManualPoints!$D4-ManualPoints!$D5)^2)/UAV_Params!$B$16,0))</f>
        <v>161</v>
      </c>
      <c r="E4" s="16">
        <f>IF($A4=E$3,0,ROUND(UAV_Params!$B$17*SQRT((ManualPoints!$C4-ManualPoints!$C6)^2+(ManualPoints!$D4-ManualPoints!$D6)^2)/UAV_Params!$B$16,0))</f>
        <v>147</v>
      </c>
      <c r="F4" s="16">
        <f>IF($A4=F$3,0,ROUND(UAV_Params!$B$17*SQRT((ManualPoints!$C4-ManualPoints!$C7)^2+(ManualPoints!$D4-ManualPoints!$D7)^2)/UAV_Params!$B$16,0))</f>
        <v>140</v>
      </c>
      <c r="G4" s="16">
        <f>IF($A4=G$3,0,ROUND(UAV_Params!$B$17*SQRT((ManualPoints!$C4-ManualPoints!$C8)^2+(ManualPoints!$D4-ManualPoints!$D8)^2)/UAV_Params!$B$16,0))</f>
        <v>159</v>
      </c>
      <c r="H4" s="16">
        <f>IF($A4=H$3,0,ROUND(UAV_Params!$B$17*SQRT((ManualPoints!$C4-ManualPoints!$C9)^2+(ManualPoints!$D4-ManualPoints!$D9)^2)/UAV_Params!$B$16,0))</f>
        <v>155</v>
      </c>
      <c r="I4" s="16">
        <f>IF($A4=I$3,0,ROUND(UAV_Params!$B$17*SQRT((ManualPoints!$C4-ManualPoints!$C10)^2+(ManualPoints!$D4-ManualPoints!$D10)^2)/UAV_Params!$B$16,0))</f>
        <v>167</v>
      </c>
      <c r="J4" s="16">
        <f>IF($A4=J$3,0,ROUND(UAV_Params!$B$17*SQRT((ManualPoints!$C4-ManualPoints!$C11)^2+(ManualPoints!$D4-ManualPoints!$D11)^2)/UAV_Params!$B$16,0))</f>
        <v>194</v>
      </c>
      <c r="K4" s="16">
        <f>IF($A4=K$3,0,ROUND(UAV_Params!$B$17*SQRT((ManualPoints!$C4-ManualPoints!$C12)^2+(ManualPoints!$D4-ManualPoints!$D12)^2)/UAV_Params!$B$16,0))</f>
        <v>181</v>
      </c>
      <c r="L4" s="16">
        <f>IF($A4=L$3,0,ROUND(UAV_Params!$B$17*SQRT((ManualPoints!$C4-ManualPoints!$C13)^2+(ManualPoints!$D4-ManualPoints!$D13)^2)/UAV_Params!$B$16,0))</f>
        <v>126</v>
      </c>
      <c r="M4" s="16">
        <f>IF($A4=M$3,0,ROUND(UAV_Params!$B$17*SQRT((ManualPoints!$C4-ManualPoints!$C14)^2+(ManualPoints!$D4-ManualPoints!$D14)^2)/UAV_Params!$B$16,0))</f>
        <v>119</v>
      </c>
      <c r="N4" s="16">
        <f>IF($A4=N$3,0,ROUND(UAV_Params!$B$17*SQRT((ManualPoints!$C4-ManualPoints!$C15)^2+(ManualPoints!$D4-ManualPoints!$D15)^2)/UAV_Params!$B$16,0))</f>
        <v>162</v>
      </c>
      <c r="O4" s="16">
        <f>IF($A4=O$3,0,ROUND(UAV_Params!$B$17*SQRT((ManualPoints!$C4-ManualPoints!$C16)^2+(ManualPoints!$D4-ManualPoints!$D16)^2)/UAV_Params!$B$16,0))</f>
        <v>149</v>
      </c>
      <c r="P4" s="16">
        <f>IF($A4=P$3,0,ROUND(UAV_Params!$B$17*SQRT((ManualPoints!$C4-ManualPoints!$C17)^2+(ManualPoints!$D4-ManualPoints!$D17)^2)/UAV_Params!$B$16,0))</f>
        <v>144</v>
      </c>
      <c r="Q4" s="16">
        <f>IF($A4=Q$3,0,ROUND(UAV_Params!$B$17*SQRT((ManualPoints!$C4-ManualPoints!$C18)^2+(ManualPoints!$D4-ManualPoints!$D18)^2)/UAV_Params!$B$16,0))</f>
        <v>159</v>
      </c>
      <c r="R4" s="16">
        <f>IF($A4=R$3,0,ROUND(UAV_Params!$B$17*SQRT((ManualPoints!$C4-ManualPoints!$C19)^2+(ManualPoints!$D4-ManualPoints!$D19)^2)/UAV_Params!$B$16,0))</f>
        <v>241</v>
      </c>
      <c r="S4" s="16">
        <f>IF($A4=S$3,0,ROUND(UAV_Params!$B$17*SQRT((ManualPoints!$C4-ManualPoints!$C20)^2+(ManualPoints!$D4-ManualPoints!$D20)^2)/UAV_Params!$B$16,0))</f>
        <v>241</v>
      </c>
    </row>
    <row r="5" ht="16.5" customHeight="1" spans="1:19">
      <c r="A5" s="14" t="s">
        <v>100</v>
      </c>
      <c r="B5" s="17" t="s">
        <v>96</v>
      </c>
      <c r="C5" s="16">
        <f>IF($A5=C$3,0,ROUND(UAV_Params!$B$17*SQRT((ManualPoints!$C5-ManualPoints!$C4)^2+(ManualPoints!$D5-ManualPoints!$D4)^2)/UAV_Params!$B$16,0))</f>
        <v>161</v>
      </c>
      <c r="D5" s="16">
        <f>IF($A5=D$3,0,ROUND(UAV_Params!$B$17*SQRT((ManualPoints!$C5-ManualPoints!$C5)^2+(ManualPoints!$D5-ManualPoints!$D5)^2)/UAV_Params!$B$16,0))</f>
        <v>0</v>
      </c>
      <c r="E5" s="16">
        <f>IF($A5=E$3,0,ROUND(UAV_Params!$B$17*SQRT((ManualPoints!$C5-ManualPoints!$C6)^2+(ManualPoints!$D5-ManualPoints!$D6)^2)/UAV_Params!$B$16,0))</f>
        <v>16</v>
      </c>
      <c r="F5" s="16">
        <f>IF($A5=F$3,0,ROUND(UAV_Params!$B$17*SQRT((ManualPoints!$C5-ManualPoints!$C7)^2+(ManualPoints!$D5-ManualPoints!$D7)^2)/UAV_Params!$B$16,0))</f>
        <v>22</v>
      </c>
      <c r="G5" s="16">
        <f>IF($A5=G$3,0,ROUND(UAV_Params!$B$17*SQRT((ManualPoints!$C5-ManualPoints!$C8)^2+(ManualPoints!$D5-ManualPoints!$D8)^2)/UAV_Params!$B$16,0))</f>
        <v>96</v>
      </c>
      <c r="H5" s="16">
        <f>IF($A5=H$3,0,ROUND(UAV_Params!$B$17*SQRT((ManualPoints!$C5-ManualPoints!$C9)^2+(ManualPoints!$D5-ManualPoints!$D9)^2)/UAV_Params!$B$16,0))</f>
        <v>79</v>
      </c>
      <c r="I5" s="16">
        <f>IF($A5=I$3,0,ROUND(UAV_Params!$B$17*SQRT((ManualPoints!$C5-ManualPoints!$C10)^2+(ManualPoints!$D5-ManualPoints!$D10)^2)/UAV_Params!$B$16,0))</f>
        <v>114</v>
      </c>
      <c r="J5" s="16">
        <f>IF($A5=J$3,0,ROUND(UAV_Params!$B$17*SQRT((ManualPoints!$C5-ManualPoints!$C11)^2+(ManualPoints!$D5-ManualPoints!$D11)^2)/UAV_Params!$B$16,0))</f>
        <v>200</v>
      </c>
      <c r="K5" s="16">
        <f>IF($A5=K$3,0,ROUND(UAV_Params!$B$17*SQRT((ManualPoints!$C5-ManualPoints!$C12)^2+(ManualPoints!$D5-ManualPoints!$D12)^2)/UAV_Params!$B$16,0))</f>
        <v>184</v>
      </c>
      <c r="L5" s="16">
        <f>IF($A5=L$3,0,ROUND(UAV_Params!$B$17*SQRT((ManualPoints!$C5-ManualPoints!$C13)^2+(ManualPoints!$D5-ManualPoints!$D13)^2)/UAV_Params!$B$16,0))</f>
        <v>259</v>
      </c>
      <c r="M5" s="16">
        <f>IF($A5=M$3,0,ROUND(UAV_Params!$B$17*SQRT((ManualPoints!$C5-ManualPoints!$C14)^2+(ManualPoints!$D5-ManualPoints!$D14)^2)/UAV_Params!$B$16,0))</f>
        <v>247</v>
      </c>
      <c r="N5" s="16">
        <f>IF($A5=N$3,0,ROUND(UAV_Params!$B$17*SQRT((ManualPoints!$C5-ManualPoints!$C15)^2+(ManualPoints!$D5-ManualPoints!$D15)^2)/UAV_Params!$B$16,0))</f>
        <v>324</v>
      </c>
      <c r="O5" s="16">
        <f>IF($A5=O$3,0,ROUND(UAV_Params!$B$17*SQRT((ManualPoints!$C5-ManualPoints!$C16)^2+(ManualPoints!$D5-ManualPoints!$D16)^2)/UAV_Params!$B$16,0))</f>
        <v>310</v>
      </c>
      <c r="P5" s="16">
        <f>IF($A5=P$3,0,ROUND(UAV_Params!$B$17*SQRT((ManualPoints!$C5-ManualPoints!$C17)^2+(ManualPoints!$D5-ManualPoints!$D17)^2)/UAV_Params!$B$16,0))</f>
        <v>241</v>
      </c>
      <c r="Q5" s="16">
        <f>IF($A5=Q$3,0,ROUND(UAV_Params!$B$17*SQRT((ManualPoints!$C5-ManualPoints!$C18)^2+(ManualPoints!$D5-ManualPoints!$D18)^2)/UAV_Params!$B$16,0))</f>
        <v>250</v>
      </c>
      <c r="R5" s="16">
        <f>IF($A5=R$3,0,ROUND(UAV_Params!$B$17*SQRT((ManualPoints!$C5-ManualPoints!$C19)^2+(ManualPoints!$D5-ManualPoints!$D19)^2)/UAV_Params!$B$16,0))</f>
        <v>274</v>
      </c>
      <c r="S5" s="16">
        <f>IF($A5=S$3,0,ROUND(UAV_Params!$B$17*SQRT((ManualPoints!$C5-ManualPoints!$C20)^2+(ManualPoints!$D5-ManualPoints!$D20)^2)/UAV_Params!$B$16,0))</f>
        <v>264</v>
      </c>
    </row>
    <row r="6" ht="16.5" customHeight="1" spans="1:19">
      <c r="A6" s="14" t="s">
        <v>105</v>
      </c>
      <c r="B6" s="17" t="s">
        <v>102</v>
      </c>
      <c r="C6" s="16">
        <f>IF($A6=C$3,0,ROUND(UAV_Params!$B$17*SQRT((ManualPoints!$C6-ManualPoints!$C4)^2+(ManualPoints!$D6-ManualPoints!$D4)^2)/UAV_Params!$B$16,0))</f>
        <v>147</v>
      </c>
      <c r="D6" s="16">
        <f>IF($A6=D$3,0,ROUND(UAV_Params!$B$17*SQRT((ManualPoints!$C6-ManualPoints!$C5)^2+(ManualPoints!$D6-ManualPoints!$D5)^2)/UAV_Params!$B$16,0))</f>
        <v>16</v>
      </c>
      <c r="E6" s="16">
        <f>IF($A6=E$3,0,ROUND(UAV_Params!$B$17*SQRT((ManualPoints!$C6-ManualPoints!$C6)^2+(ManualPoints!$D6-ManualPoints!$D6)^2)/UAV_Params!$B$16,0))</f>
        <v>0</v>
      </c>
      <c r="F6" s="16">
        <f>IF($A6=F$3,0,ROUND(UAV_Params!$B$17*SQRT((ManualPoints!$C6-ManualPoints!$C7)^2+(ManualPoints!$D6-ManualPoints!$D7)^2)/UAV_Params!$B$16,0))</f>
        <v>12</v>
      </c>
      <c r="G6" s="16">
        <f>IF($A6=G$3,0,ROUND(UAV_Params!$B$17*SQRT((ManualPoints!$C6-ManualPoints!$C8)^2+(ManualPoints!$D6-ManualPoints!$D8)^2)/UAV_Params!$B$16,0))</f>
        <v>98</v>
      </c>
      <c r="H6" s="16">
        <f>IF($A6=H$3,0,ROUND(UAV_Params!$B$17*SQRT((ManualPoints!$C6-ManualPoints!$C9)^2+(ManualPoints!$D6-ManualPoints!$D9)^2)/UAV_Params!$B$16,0))</f>
        <v>82</v>
      </c>
      <c r="I6" s="16">
        <f>IF($A6=I$3,0,ROUND(UAV_Params!$B$17*SQRT((ManualPoints!$C6-ManualPoints!$C10)^2+(ManualPoints!$D6-ManualPoints!$D10)^2)/UAV_Params!$B$16,0))</f>
        <v>117</v>
      </c>
      <c r="J6" s="16">
        <f>IF($A6=J$3,0,ROUND(UAV_Params!$B$17*SQRT((ManualPoints!$C6-ManualPoints!$C11)^2+(ManualPoints!$D6-ManualPoints!$D11)^2)/UAV_Params!$B$16,0))</f>
        <v>200</v>
      </c>
      <c r="K6" s="16">
        <f>IF($A6=K$3,0,ROUND(UAV_Params!$B$17*SQRT((ManualPoints!$C6-ManualPoints!$C12)^2+(ManualPoints!$D6-ManualPoints!$D12)^2)/UAV_Params!$B$16,0))</f>
        <v>183</v>
      </c>
      <c r="L6" s="16">
        <f>IF($A6=L$3,0,ROUND(UAV_Params!$B$17*SQRT((ManualPoints!$C6-ManualPoints!$C13)^2+(ManualPoints!$D6-ManualPoints!$D13)^2)/UAV_Params!$B$16,0))</f>
        <v>248</v>
      </c>
      <c r="M6" s="16">
        <f>IF($A6=M$3,0,ROUND(UAV_Params!$B$17*SQRT((ManualPoints!$C6-ManualPoints!$C14)^2+(ManualPoints!$D6-ManualPoints!$D14)^2)/UAV_Params!$B$16,0))</f>
        <v>236</v>
      </c>
      <c r="N6" s="16">
        <f>IF($A6=N$3,0,ROUND(UAV_Params!$B$17*SQRT((ManualPoints!$C6-ManualPoints!$C15)^2+(ManualPoints!$D6-ManualPoints!$D15)^2)/UAV_Params!$B$16,0))</f>
        <v>309</v>
      </c>
      <c r="O6" s="16">
        <f>IF($A6=O$3,0,ROUND(UAV_Params!$B$17*SQRT((ManualPoints!$C6-ManualPoints!$C16)^2+(ManualPoints!$D6-ManualPoints!$D16)^2)/UAV_Params!$B$16,0))</f>
        <v>296</v>
      </c>
      <c r="P6" s="16">
        <f>IF($A6=P$3,0,ROUND(UAV_Params!$B$17*SQRT((ManualPoints!$C6-ManualPoints!$C17)^2+(ManualPoints!$D6-ManualPoints!$D17)^2)/UAV_Params!$B$16,0))</f>
        <v>226</v>
      </c>
      <c r="Q6" s="16">
        <f>IF($A6=Q$3,0,ROUND(UAV_Params!$B$17*SQRT((ManualPoints!$C6-ManualPoints!$C18)^2+(ManualPoints!$D6-ManualPoints!$D18)^2)/UAV_Params!$B$16,0))</f>
        <v>234</v>
      </c>
      <c r="R6" s="16">
        <f>IF($A6=R$3,0,ROUND(UAV_Params!$B$17*SQRT((ManualPoints!$C6-ManualPoints!$C19)^2+(ManualPoints!$D6-ManualPoints!$D19)^2)/UAV_Params!$B$16,0))</f>
        <v>262</v>
      </c>
      <c r="S6" s="16">
        <f>IF($A6=S$3,0,ROUND(UAV_Params!$B$17*SQRT((ManualPoints!$C6-ManualPoints!$C20)^2+(ManualPoints!$D6-ManualPoints!$D20)^2)/UAV_Params!$B$16,0))</f>
        <v>252</v>
      </c>
    </row>
    <row r="7" ht="16.5" customHeight="1" spans="1:19">
      <c r="A7" s="14" t="s">
        <v>110</v>
      </c>
      <c r="B7" s="17" t="s">
        <v>107</v>
      </c>
      <c r="C7" s="16">
        <f>IF($A7=C$3,0,ROUND(UAV_Params!$B$17*SQRT((ManualPoints!$C7-ManualPoints!$C4)^2+(ManualPoints!$D7-ManualPoints!$D4)^2)/UAV_Params!$B$16,0))</f>
        <v>140</v>
      </c>
      <c r="D7" s="16">
        <f>IF($A7=D$3,0,ROUND(UAV_Params!$B$17*SQRT((ManualPoints!$C7-ManualPoints!$C5)^2+(ManualPoints!$D7-ManualPoints!$D5)^2)/UAV_Params!$B$16,0))</f>
        <v>22</v>
      </c>
      <c r="E7" s="16">
        <f>IF($A7=E$3,0,ROUND(UAV_Params!$B$17*SQRT((ManualPoints!$C7-ManualPoints!$C6)^2+(ManualPoints!$D7-ManualPoints!$D6)^2)/UAV_Params!$B$16,0))</f>
        <v>12</v>
      </c>
      <c r="F7" s="16">
        <f>IF($A7=F$3,0,ROUND(UAV_Params!$B$17*SQRT((ManualPoints!$C7-ManualPoints!$C7)^2+(ManualPoints!$D7-ManualPoints!$D7)^2)/UAV_Params!$B$16,0))</f>
        <v>0</v>
      </c>
      <c r="G7" s="16">
        <f>IF($A7=G$3,0,ROUND(UAV_Params!$B$17*SQRT((ManualPoints!$C7-ManualPoints!$C8)^2+(ManualPoints!$D7-ManualPoints!$D8)^2)/UAV_Params!$B$16,0))</f>
        <v>87</v>
      </c>
      <c r="H7" s="16">
        <f>IF($A7=H$3,0,ROUND(UAV_Params!$B$17*SQRT((ManualPoints!$C7-ManualPoints!$C9)^2+(ManualPoints!$D7-ManualPoints!$D9)^2)/UAV_Params!$B$16,0))</f>
        <v>70</v>
      </c>
      <c r="I7" s="16">
        <f>IF($A7=I$3,0,ROUND(UAV_Params!$B$17*SQRT((ManualPoints!$C7-ManualPoints!$C10)^2+(ManualPoints!$D7-ManualPoints!$D10)^2)/UAV_Params!$B$16,0))</f>
        <v>105</v>
      </c>
      <c r="J7" s="16">
        <f>IF($A7=J$3,0,ROUND(UAV_Params!$B$17*SQRT((ManualPoints!$C7-ManualPoints!$C11)^2+(ManualPoints!$D7-ManualPoints!$D11)^2)/UAV_Params!$B$16,0))</f>
        <v>188</v>
      </c>
      <c r="K7" s="16">
        <f>IF($A7=K$3,0,ROUND(UAV_Params!$B$17*SQRT((ManualPoints!$C7-ManualPoints!$C12)^2+(ManualPoints!$D7-ManualPoints!$D12)^2)/UAV_Params!$B$16,0))</f>
        <v>171</v>
      </c>
      <c r="L7" s="16">
        <f>IF($A7=L$3,0,ROUND(UAV_Params!$B$17*SQRT((ManualPoints!$C7-ManualPoints!$C13)^2+(ManualPoints!$D7-ManualPoints!$D13)^2)/UAV_Params!$B$16,0))</f>
        <v>238</v>
      </c>
      <c r="M7" s="16">
        <f>IF($A7=M$3,0,ROUND(UAV_Params!$B$17*SQRT((ManualPoints!$C7-ManualPoints!$C14)^2+(ManualPoints!$D7-ManualPoints!$D14)^2)/UAV_Params!$B$16,0))</f>
        <v>226</v>
      </c>
      <c r="N7" s="16">
        <f>IF($A7=N$3,0,ROUND(UAV_Params!$B$17*SQRT((ManualPoints!$C7-ManualPoints!$C15)^2+(ManualPoints!$D7-ManualPoints!$D15)^2)/UAV_Params!$B$16,0))</f>
        <v>302</v>
      </c>
      <c r="O7" s="16">
        <f>IF($A7=O$3,0,ROUND(UAV_Params!$B$17*SQRT((ManualPoints!$C7-ManualPoints!$C16)^2+(ManualPoints!$D7-ManualPoints!$D16)^2)/UAV_Params!$B$16,0))</f>
        <v>289</v>
      </c>
      <c r="P7" s="16">
        <f>IF($A7=P$3,0,ROUND(UAV_Params!$B$17*SQRT((ManualPoints!$C7-ManualPoints!$C17)^2+(ManualPoints!$D7-ManualPoints!$D17)^2)/UAV_Params!$B$16,0))</f>
        <v>227</v>
      </c>
      <c r="Q7" s="16">
        <f>IF($A7=Q$3,0,ROUND(UAV_Params!$B$17*SQRT((ManualPoints!$C7-ManualPoints!$C18)^2+(ManualPoints!$D7-ManualPoints!$D18)^2)/UAV_Params!$B$16,0))</f>
        <v>236</v>
      </c>
      <c r="R7" s="16">
        <f>IF($A7=R$3,0,ROUND(UAV_Params!$B$17*SQRT((ManualPoints!$C7-ManualPoints!$C19)^2+(ManualPoints!$D7-ManualPoints!$D19)^2)/UAV_Params!$B$16,0))</f>
        <v>269</v>
      </c>
      <c r="S7" s="16">
        <f>IF($A7=S$3,0,ROUND(UAV_Params!$B$17*SQRT((ManualPoints!$C7-ManualPoints!$C20)^2+(ManualPoints!$D7-ManualPoints!$D20)^2)/UAV_Params!$B$16,0))</f>
        <v>260</v>
      </c>
    </row>
    <row r="8" ht="16.5" customHeight="1" spans="1:19">
      <c r="A8" s="14" t="s">
        <v>115</v>
      </c>
      <c r="B8" s="17" t="s">
        <v>112</v>
      </c>
      <c r="C8" s="16">
        <f>IF($A8=C$3,0,ROUND(UAV_Params!$B$17*SQRT((ManualPoints!$C8-ManualPoints!$C4)^2+(ManualPoints!$D8-ManualPoints!$D4)^2)/UAV_Params!$B$16,0))</f>
        <v>159</v>
      </c>
      <c r="D8" s="16">
        <f>IF($A8=D$3,0,ROUND(UAV_Params!$B$17*SQRT((ManualPoints!$C8-ManualPoints!$C5)^2+(ManualPoints!$D8-ManualPoints!$D5)^2)/UAV_Params!$B$16,0))</f>
        <v>96</v>
      </c>
      <c r="E8" s="16">
        <f>IF($A8=E$3,0,ROUND(UAV_Params!$B$17*SQRT((ManualPoints!$C8-ManualPoints!$C6)^2+(ManualPoints!$D8-ManualPoints!$D6)^2)/UAV_Params!$B$16,0))</f>
        <v>98</v>
      </c>
      <c r="F8" s="16">
        <f>IF($A8=F$3,0,ROUND(UAV_Params!$B$17*SQRT((ManualPoints!$C8-ManualPoints!$C7)^2+(ManualPoints!$D8-ManualPoints!$D7)^2)/UAV_Params!$B$16,0))</f>
        <v>87</v>
      </c>
      <c r="G8" s="16">
        <f>IF($A8=G$3,0,ROUND(UAV_Params!$B$17*SQRT((ManualPoints!$C8-ManualPoints!$C8)^2+(ManualPoints!$D8-ManualPoints!$D8)^2)/UAV_Params!$B$16,0))</f>
        <v>0</v>
      </c>
      <c r="H8" s="16">
        <f>IF($A8=H$3,0,ROUND(UAV_Params!$B$17*SQRT((ManualPoints!$C8-ManualPoints!$C9)^2+(ManualPoints!$D8-ManualPoints!$D9)^2)/UAV_Params!$B$16,0))</f>
        <v>17</v>
      </c>
      <c r="I8" s="16">
        <f>IF($A8=I$3,0,ROUND(UAV_Params!$B$17*SQRT((ManualPoints!$C8-ManualPoints!$C10)^2+(ManualPoints!$D8-ManualPoints!$D10)^2)/UAV_Params!$B$16,0))</f>
        <v>18</v>
      </c>
      <c r="J8" s="16">
        <f>IF($A8=J$3,0,ROUND(UAV_Params!$B$17*SQRT((ManualPoints!$C8-ManualPoints!$C11)^2+(ManualPoints!$D8-ManualPoints!$D11)^2)/UAV_Params!$B$16,0))</f>
        <v>106</v>
      </c>
      <c r="K8" s="16">
        <f>IF($A8=K$3,0,ROUND(UAV_Params!$B$17*SQRT((ManualPoints!$C8-ManualPoints!$C12)^2+(ManualPoints!$D8-ManualPoints!$D12)^2)/UAV_Params!$B$16,0))</f>
        <v>90</v>
      </c>
      <c r="L8" s="16">
        <f>IF($A8=L$3,0,ROUND(UAV_Params!$B$17*SQRT((ManualPoints!$C8-ManualPoints!$C13)^2+(ManualPoints!$D8-ManualPoints!$D13)^2)/UAV_Params!$B$16,0))</f>
        <v>209</v>
      </c>
      <c r="M8" s="16">
        <f>IF($A8=M$3,0,ROUND(UAV_Params!$B$17*SQRT((ManualPoints!$C8-ManualPoints!$C14)^2+(ManualPoints!$D8-ManualPoints!$D14)^2)/UAV_Params!$B$16,0))</f>
        <v>195</v>
      </c>
      <c r="N8" s="16">
        <f>IF($A8=N$3,0,ROUND(UAV_Params!$B$17*SQRT((ManualPoints!$C8-ManualPoints!$C15)^2+(ManualPoints!$D8-ManualPoints!$D15)^2)/UAV_Params!$B$16,0))</f>
        <v>304</v>
      </c>
      <c r="O8" s="16">
        <f>IF($A8=O$3,0,ROUND(UAV_Params!$B$17*SQRT((ManualPoints!$C8-ManualPoints!$C16)^2+(ManualPoints!$D8-ManualPoints!$D16)^2)/UAV_Params!$B$16,0))</f>
        <v>290</v>
      </c>
      <c r="P8" s="16">
        <f>IF($A8=P$3,0,ROUND(UAV_Params!$B$17*SQRT((ManualPoints!$C8-ManualPoints!$C17)^2+(ManualPoints!$D8-ManualPoints!$D17)^2)/UAV_Params!$B$16,0))</f>
        <v>284</v>
      </c>
      <c r="Q8" s="16">
        <f>IF($A8=Q$3,0,ROUND(UAV_Params!$B$17*SQRT((ManualPoints!$C8-ManualPoints!$C18)^2+(ManualPoints!$D8-ManualPoints!$D18)^2)/UAV_Params!$B$16,0))</f>
        <v>296</v>
      </c>
      <c r="R8" s="16">
        <f>IF($A8=R$3,0,ROUND(UAV_Params!$B$17*SQRT((ManualPoints!$C8-ManualPoints!$C19)^2+(ManualPoints!$D8-ManualPoints!$D19)^2)/UAV_Params!$B$16,0))</f>
        <v>346</v>
      </c>
      <c r="S8" s="16">
        <f>IF($A8=S$3,0,ROUND(UAV_Params!$B$17*SQRT((ManualPoints!$C8-ManualPoints!$C20)^2+(ManualPoints!$D8-ManualPoints!$D20)^2)/UAV_Params!$B$16,0))</f>
        <v>339</v>
      </c>
    </row>
    <row r="9" ht="16.5" customHeight="1" spans="1:19">
      <c r="A9" s="14" t="s">
        <v>118</v>
      </c>
      <c r="B9" s="17" t="s">
        <v>117</v>
      </c>
      <c r="C9" s="16">
        <f>IF($A9=C$3,0,ROUND(UAV_Params!$B$17*SQRT((ManualPoints!$C9-ManualPoints!$C4)^2+(ManualPoints!$D9-ManualPoints!$D4)^2)/UAV_Params!$B$16,0))</f>
        <v>155</v>
      </c>
      <c r="D9" s="16">
        <f>IF($A9=D$3,0,ROUND(UAV_Params!$B$17*SQRT((ManualPoints!$C9-ManualPoints!$C5)^2+(ManualPoints!$D9-ManualPoints!$D5)^2)/UAV_Params!$B$16,0))</f>
        <v>79</v>
      </c>
      <c r="E9" s="16">
        <f>IF($A9=E$3,0,ROUND(UAV_Params!$B$17*SQRT((ManualPoints!$C9-ManualPoints!$C6)^2+(ManualPoints!$D9-ManualPoints!$D6)^2)/UAV_Params!$B$16,0))</f>
        <v>82</v>
      </c>
      <c r="F9" s="16">
        <f>IF($A9=F$3,0,ROUND(UAV_Params!$B$17*SQRT((ManualPoints!$C9-ManualPoints!$C7)^2+(ManualPoints!$D9-ManualPoints!$D7)^2)/UAV_Params!$B$16,0))</f>
        <v>70</v>
      </c>
      <c r="G9" s="16">
        <f>IF($A9=G$3,0,ROUND(UAV_Params!$B$17*SQRT((ManualPoints!$C9-ManualPoints!$C8)^2+(ManualPoints!$D9-ManualPoints!$D8)^2)/UAV_Params!$B$16,0))</f>
        <v>17</v>
      </c>
      <c r="H9" s="16">
        <f>IF($A9=H$3,0,ROUND(UAV_Params!$B$17*SQRT((ManualPoints!$C9-ManualPoints!$C9)^2+(ManualPoints!$D9-ManualPoints!$D9)^2)/UAV_Params!$B$16,0))</f>
        <v>0</v>
      </c>
      <c r="I9" s="16">
        <f>IF($A9=I$3,0,ROUND(UAV_Params!$B$17*SQRT((ManualPoints!$C9-ManualPoints!$C10)^2+(ManualPoints!$D9-ManualPoints!$D10)^2)/UAV_Params!$B$16,0))</f>
        <v>35</v>
      </c>
      <c r="J9" s="16">
        <f>IF($A9=J$3,0,ROUND(UAV_Params!$B$17*SQRT((ManualPoints!$C9-ManualPoints!$C11)^2+(ManualPoints!$D9-ManualPoints!$D11)^2)/UAV_Params!$B$16,0))</f>
        <v>123</v>
      </c>
      <c r="K9" s="16">
        <f>IF($A9=K$3,0,ROUND(UAV_Params!$B$17*SQRT((ManualPoints!$C9-ManualPoints!$C12)^2+(ManualPoints!$D9-ManualPoints!$D12)^2)/UAV_Params!$B$16,0))</f>
        <v>106</v>
      </c>
      <c r="L9" s="16">
        <f>IF($A9=L$3,0,ROUND(UAV_Params!$B$17*SQRT((ManualPoints!$C9-ManualPoints!$C13)^2+(ManualPoints!$D9-ManualPoints!$D13)^2)/UAV_Params!$B$16,0))</f>
        <v>215</v>
      </c>
      <c r="M9" s="16">
        <f>IF($A9=M$3,0,ROUND(UAV_Params!$B$17*SQRT((ManualPoints!$C9-ManualPoints!$C14)^2+(ManualPoints!$D9-ManualPoints!$D14)^2)/UAV_Params!$B$16,0))</f>
        <v>201</v>
      </c>
      <c r="N9" s="16">
        <f>IF($A9=N$3,0,ROUND(UAV_Params!$B$17*SQRT((ManualPoints!$C9-ManualPoints!$C15)^2+(ManualPoints!$D9-ManualPoints!$D15)^2)/UAV_Params!$B$16,0))</f>
        <v>305</v>
      </c>
      <c r="O9" s="16">
        <f>IF($A9=O$3,0,ROUND(UAV_Params!$B$17*SQRT((ManualPoints!$C9-ManualPoints!$C16)^2+(ManualPoints!$D9-ManualPoints!$D16)^2)/UAV_Params!$B$16,0))</f>
        <v>291</v>
      </c>
      <c r="P9" s="16">
        <f>IF($A9=P$3,0,ROUND(UAV_Params!$B$17*SQRT((ManualPoints!$C9-ManualPoints!$C17)^2+(ManualPoints!$D9-ManualPoints!$D17)^2)/UAV_Params!$B$16,0))</f>
        <v>274</v>
      </c>
      <c r="Q9" s="16">
        <f>IF($A9=Q$3,0,ROUND(UAV_Params!$B$17*SQRT((ManualPoints!$C9-ManualPoints!$C18)^2+(ManualPoints!$D9-ManualPoints!$D18)^2)/UAV_Params!$B$16,0))</f>
        <v>286</v>
      </c>
      <c r="R9" s="16">
        <f>IF($A9=R$3,0,ROUND(UAV_Params!$B$17*SQRT((ManualPoints!$C9-ManualPoints!$C19)^2+(ManualPoints!$D9-ManualPoints!$D19)^2)/UAV_Params!$B$16,0))</f>
        <v>332</v>
      </c>
      <c r="S9" s="16">
        <f>IF($A9=S$3,0,ROUND(UAV_Params!$B$17*SQRT((ManualPoints!$C9-ManualPoints!$C20)^2+(ManualPoints!$D9-ManualPoints!$D20)^2)/UAV_Params!$B$16,0))</f>
        <v>325</v>
      </c>
    </row>
    <row r="10" ht="16.5" customHeight="1" spans="1:19">
      <c r="A10" s="14" t="s">
        <v>122</v>
      </c>
      <c r="B10" s="17" t="s">
        <v>120</v>
      </c>
      <c r="C10" s="16">
        <f>IF($A10=C$3,0,ROUND(UAV_Params!$B$17*SQRT((ManualPoints!$C10-ManualPoints!$C4)^2+(ManualPoints!$D10-ManualPoints!$D4)^2)/UAV_Params!$B$16,0))</f>
        <v>167</v>
      </c>
      <c r="D10" s="16">
        <f>IF($A10=D$3,0,ROUND(UAV_Params!$B$17*SQRT((ManualPoints!$C10-ManualPoints!$C5)^2+(ManualPoints!$D10-ManualPoints!$D5)^2)/UAV_Params!$B$16,0))</f>
        <v>114</v>
      </c>
      <c r="E10" s="16">
        <f>IF($A10=E$3,0,ROUND(UAV_Params!$B$17*SQRT((ManualPoints!$C10-ManualPoints!$C6)^2+(ManualPoints!$D10-ManualPoints!$D6)^2)/UAV_Params!$B$16,0))</f>
        <v>117</v>
      </c>
      <c r="F10" s="16">
        <f>IF($A10=F$3,0,ROUND(UAV_Params!$B$17*SQRT((ManualPoints!$C10-ManualPoints!$C7)^2+(ManualPoints!$D10-ManualPoints!$D7)^2)/UAV_Params!$B$16,0))</f>
        <v>105</v>
      </c>
      <c r="G10" s="16">
        <f>IF($A10=G$3,0,ROUND(UAV_Params!$B$17*SQRT((ManualPoints!$C10-ManualPoints!$C8)^2+(ManualPoints!$D10-ManualPoints!$D8)^2)/UAV_Params!$B$16,0))</f>
        <v>18</v>
      </c>
      <c r="H10" s="16">
        <f>IF($A10=H$3,0,ROUND(UAV_Params!$B$17*SQRT((ManualPoints!$C10-ManualPoints!$C9)^2+(ManualPoints!$D10-ManualPoints!$D9)^2)/UAV_Params!$B$16,0))</f>
        <v>35</v>
      </c>
      <c r="I10" s="16">
        <f>IF($A10=I$3,0,ROUND(UAV_Params!$B$17*SQRT((ManualPoints!$C10-ManualPoints!$C10)^2+(ManualPoints!$D10-ManualPoints!$D10)^2)/UAV_Params!$B$16,0))</f>
        <v>0</v>
      </c>
      <c r="J10" s="16">
        <f>IF($A10=J$3,0,ROUND(UAV_Params!$B$17*SQRT((ManualPoints!$C10-ManualPoints!$C11)^2+(ManualPoints!$D10-ManualPoints!$D11)^2)/UAV_Params!$B$16,0))</f>
        <v>89</v>
      </c>
      <c r="K10" s="16">
        <f>IF($A10=K$3,0,ROUND(UAV_Params!$B$17*SQRT((ManualPoints!$C10-ManualPoints!$C12)^2+(ManualPoints!$D10-ManualPoints!$D12)^2)/UAV_Params!$B$16,0))</f>
        <v>73</v>
      </c>
      <c r="L10" s="16">
        <f>IF($A10=L$3,0,ROUND(UAV_Params!$B$17*SQRT((ManualPoints!$C10-ManualPoints!$C13)^2+(ManualPoints!$D10-ManualPoints!$D13)^2)/UAV_Params!$B$16,0))</f>
        <v>205</v>
      </c>
      <c r="M10" s="16">
        <f>IF($A10=M$3,0,ROUND(UAV_Params!$B$17*SQRT((ManualPoints!$C10-ManualPoints!$C14)^2+(ManualPoints!$D10-ManualPoints!$D14)^2)/UAV_Params!$B$16,0))</f>
        <v>191</v>
      </c>
      <c r="N10" s="16">
        <f>IF($A10=N$3,0,ROUND(UAV_Params!$B$17*SQRT((ManualPoints!$C10-ManualPoints!$C15)^2+(ManualPoints!$D10-ManualPoints!$D15)^2)/UAV_Params!$B$16,0))</f>
        <v>305</v>
      </c>
      <c r="O10" s="16">
        <f>IF($A10=O$3,0,ROUND(UAV_Params!$B$17*SQRT((ManualPoints!$C10-ManualPoints!$C16)^2+(ManualPoints!$D10-ManualPoints!$D16)^2)/UAV_Params!$B$16,0))</f>
        <v>291</v>
      </c>
      <c r="P10" s="16">
        <f>IF($A10=P$3,0,ROUND(UAV_Params!$B$17*SQRT((ManualPoints!$C10-ManualPoints!$C17)^2+(ManualPoints!$D10-ManualPoints!$D17)^2)/UAV_Params!$B$16,0))</f>
        <v>296</v>
      </c>
      <c r="Q10" s="16">
        <f>IF($A10=Q$3,0,ROUND(UAV_Params!$B$17*SQRT((ManualPoints!$C10-ManualPoints!$C18)^2+(ManualPoints!$D10-ManualPoints!$D18)^2)/UAV_Params!$B$16,0))</f>
        <v>309</v>
      </c>
      <c r="R10" s="16">
        <f>IF($A10=R$3,0,ROUND(UAV_Params!$B$17*SQRT((ManualPoints!$C10-ManualPoints!$C19)^2+(ManualPoints!$D10-ManualPoints!$D19)^2)/UAV_Params!$B$16,0))</f>
        <v>362</v>
      </c>
      <c r="S10" s="16">
        <f>IF($A10=S$3,0,ROUND(UAV_Params!$B$17*SQRT((ManualPoints!$C10-ManualPoints!$C20)^2+(ManualPoints!$D10-ManualPoints!$D20)^2)/UAV_Params!$B$16,0))</f>
        <v>355</v>
      </c>
    </row>
    <row r="11" ht="16.5" customHeight="1" spans="1:19">
      <c r="A11" s="14" t="s">
        <v>127</v>
      </c>
      <c r="B11" s="17" t="s">
        <v>124</v>
      </c>
      <c r="C11" s="16">
        <f>IF($A11=C$3,0,ROUND(UAV_Params!$B$17*SQRT((ManualPoints!$C11-ManualPoints!$C4)^2+(ManualPoints!$D11-ManualPoints!$D4)^2)/UAV_Params!$B$16,0))</f>
        <v>194</v>
      </c>
      <c r="D11" s="16">
        <f>IF($A11=D$3,0,ROUND(UAV_Params!$B$17*SQRT((ManualPoints!$C11-ManualPoints!$C5)^2+(ManualPoints!$D11-ManualPoints!$D5)^2)/UAV_Params!$B$16,0))</f>
        <v>200</v>
      </c>
      <c r="E11" s="16">
        <f>IF($A11=E$3,0,ROUND(UAV_Params!$B$17*SQRT((ManualPoints!$C11-ManualPoints!$C6)^2+(ManualPoints!$D11-ManualPoints!$D6)^2)/UAV_Params!$B$16,0))</f>
        <v>200</v>
      </c>
      <c r="F11" s="16">
        <f>IF($A11=F$3,0,ROUND(UAV_Params!$B$17*SQRT((ManualPoints!$C11-ManualPoints!$C7)^2+(ManualPoints!$D11-ManualPoints!$D7)^2)/UAV_Params!$B$16,0))</f>
        <v>188</v>
      </c>
      <c r="G11" s="16">
        <f>IF($A11=G$3,0,ROUND(UAV_Params!$B$17*SQRT((ManualPoints!$C11-ManualPoints!$C8)^2+(ManualPoints!$D11-ManualPoints!$D8)^2)/UAV_Params!$B$16,0))</f>
        <v>106</v>
      </c>
      <c r="H11" s="16">
        <f>IF($A11=H$3,0,ROUND(UAV_Params!$B$17*SQRT((ManualPoints!$C11-ManualPoints!$C9)^2+(ManualPoints!$D11-ManualPoints!$D9)^2)/UAV_Params!$B$16,0))</f>
        <v>123</v>
      </c>
      <c r="I11" s="16">
        <f>IF($A11=I$3,0,ROUND(UAV_Params!$B$17*SQRT((ManualPoints!$C11-ManualPoints!$C10)^2+(ManualPoints!$D11-ManualPoints!$D10)^2)/UAV_Params!$B$16,0))</f>
        <v>89</v>
      </c>
      <c r="J11" s="16">
        <f>IF($A11=J$3,0,ROUND(UAV_Params!$B$17*SQRT((ManualPoints!$C11-ManualPoints!$C11)^2+(ManualPoints!$D11-ManualPoints!$D11)^2)/UAV_Params!$B$16,0))</f>
        <v>0</v>
      </c>
      <c r="K11" s="16">
        <f>IF($A11=K$3,0,ROUND(UAV_Params!$B$17*SQRT((ManualPoints!$C11-ManualPoints!$C12)^2+(ManualPoints!$D11-ManualPoints!$D12)^2)/UAV_Params!$B$16,0))</f>
        <v>17</v>
      </c>
      <c r="L11" s="16">
        <f>IF($A11=L$3,0,ROUND(UAV_Params!$B$17*SQRT((ManualPoints!$C11-ManualPoints!$C13)^2+(ManualPoints!$D11-ManualPoints!$D13)^2)/UAV_Params!$B$16,0))</f>
        <v>171</v>
      </c>
      <c r="M11" s="16">
        <f>IF($A11=M$3,0,ROUND(UAV_Params!$B$17*SQRT((ManualPoints!$C11-ManualPoints!$C14)^2+(ManualPoints!$D11-ManualPoints!$D14)^2)/UAV_Params!$B$16,0))</f>
        <v>157</v>
      </c>
      <c r="N11" s="16">
        <f>IF($A11=N$3,0,ROUND(UAV_Params!$B$17*SQRT((ManualPoints!$C11-ManualPoints!$C15)^2+(ManualPoints!$D11-ManualPoints!$D15)^2)/UAV_Params!$B$16,0))</f>
        <v>290</v>
      </c>
      <c r="O11" s="16">
        <f>IF($A11=O$3,0,ROUND(UAV_Params!$B$17*SQRT((ManualPoints!$C11-ManualPoints!$C16)^2+(ManualPoints!$D11-ManualPoints!$D16)^2)/UAV_Params!$B$16,0))</f>
        <v>276</v>
      </c>
      <c r="P11" s="16">
        <f>IF($A11=P$3,0,ROUND(UAV_Params!$B$17*SQRT((ManualPoints!$C11-ManualPoints!$C17)^2+(ManualPoints!$D11-ManualPoints!$D17)^2)/UAV_Params!$B$16,0))</f>
        <v>336</v>
      </c>
      <c r="Q11" s="16">
        <f>IF($A11=Q$3,0,ROUND(UAV_Params!$B$17*SQRT((ManualPoints!$C11-ManualPoints!$C18)^2+(ManualPoints!$D11-ManualPoints!$D18)^2)/UAV_Params!$B$16,0))</f>
        <v>352</v>
      </c>
      <c r="R11" s="16">
        <f>IF($A11=R$3,0,ROUND(UAV_Params!$B$17*SQRT((ManualPoints!$C11-ManualPoints!$C19)^2+(ManualPoints!$D11-ManualPoints!$D19)^2)/UAV_Params!$B$16,0))</f>
        <v>422</v>
      </c>
      <c r="S11" s="16">
        <f>IF($A11=S$3,0,ROUND(UAV_Params!$B$17*SQRT((ManualPoints!$C11-ManualPoints!$C20)^2+(ManualPoints!$D11-ManualPoints!$D20)^2)/UAV_Params!$B$16,0))</f>
        <v>418</v>
      </c>
    </row>
    <row r="12" ht="16.5" customHeight="1" spans="1:19">
      <c r="A12" s="14" t="s">
        <v>131</v>
      </c>
      <c r="B12" s="17" t="s">
        <v>129</v>
      </c>
      <c r="C12" s="16">
        <f>IF($A12=C$3,0,ROUND(UAV_Params!$B$17*SQRT((ManualPoints!$C12-ManualPoints!$C4)^2+(ManualPoints!$D12-ManualPoints!$D4)^2)/UAV_Params!$B$16,0))</f>
        <v>181</v>
      </c>
      <c r="D12" s="16">
        <f>IF($A12=D$3,0,ROUND(UAV_Params!$B$17*SQRT((ManualPoints!$C12-ManualPoints!$C5)^2+(ManualPoints!$D12-ManualPoints!$D5)^2)/UAV_Params!$B$16,0))</f>
        <v>184</v>
      </c>
      <c r="E12" s="16">
        <f>IF($A12=E$3,0,ROUND(UAV_Params!$B$17*SQRT((ManualPoints!$C12-ManualPoints!$C6)^2+(ManualPoints!$D12-ManualPoints!$D6)^2)/UAV_Params!$B$16,0))</f>
        <v>183</v>
      </c>
      <c r="F12" s="16">
        <f>IF($A12=F$3,0,ROUND(UAV_Params!$B$17*SQRT((ManualPoints!$C12-ManualPoints!$C7)^2+(ManualPoints!$D12-ManualPoints!$D7)^2)/UAV_Params!$B$16,0))</f>
        <v>171</v>
      </c>
      <c r="G12" s="16">
        <f>IF($A12=G$3,0,ROUND(UAV_Params!$B$17*SQRT((ManualPoints!$C12-ManualPoints!$C8)^2+(ManualPoints!$D12-ManualPoints!$D8)^2)/UAV_Params!$B$16,0))</f>
        <v>90</v>
      </c>
      <c r="H12" s="16">
        <f>IF($A12=H$3,0,ROUND(UAV_Params!$B$17*SQRT((ManualPoints!$C12-ManualPoints!$C9)^2+(ManualPoints!$D12-ManualPoints!$D9)^2)/UAV_Params!$B$16,0))</f>
        <v>106</v>
      </c>
      <c r="I12" s="16">
        <f>IF($A12=I$3,0,ROUND(UAV_Params!$B$17*SQRT((ManualPoints!$C12-ManualPoints!$C10)^2+(ManualPoints!$D12-ManualPoints!$D10)^2)/UAV_Params!$B$16,0))</f>
        <v>73</v>
      </c>
      <c r="J12" s="16">
        <f>IF($A12=J$3,0,ROUND(UAV_Params!$B$17*SQRT((ManualPoints!$C12-ManualPoints!$C11)^2+(ManualPoints!$D12-ManualPoints!$D11)^2)/UAV_Params!$B$16,0))</f>
        <v>17</v>
      </c>
      <c r="K12" s="16">
        <f>IF($A12=K$3,0,ROUND(UAV_Params!$B$17*SQRT((ManualPoints!$C12-ManualPoints!$C12)^2+(ManualPoints!$D12-ManualPoints!$D12)^2)/UAV_Params!$B$16,0))</f>
        <v>0</v>
      </c>
      <c r="L12" s="16">
        <f>IF($A12=L$3,0,ROUND(UAV_Params!$B$17*SQRT((ManualPoints!$C12-ManualPoints!$C13)^2+(ManualPoints!$D12-ManualPoints!$D13)^2)/UAV_Params!$B$16,0))</f>
        <v>169</v>
      </c>
      <c r="M12" s="16">
        <f>IF($A12=M$3,0,ROUND(UAV_Params!$B$17*SQRT((ManualPoints!$C12-ManualPoints!$C14)^2+(ManualPoints!$D12-ManualPoints!$D14)^2)/UAV_Params!$B$16,0))</f>
        <v>155</v>
      </c>
      <c r="N12" s="16">
        <f>IF($A12=N$3,0,ROUND(UAV_Params!$B$17*SQRT((ManualPoints!$C12-ManualPoints!$C15)^2+(ManualPoints!$D12-ManualPoints!$D15)^2)/UAV_Params!$B$16,0))</f>
        <v>285</v>
      </c>
      <c r="O12" s="16">
        <f>IF($A12=O$3,0,ROUND(UAV_Params!$B$17*SQRT((ManualPoints!$C12-ManualPoints!$C16)^2+(ManualPoints!$D12-ManualPoints!$D16)^2)/UAV_Params!$B$16,0))</f>
        <v>271</v>
      </c>
      <c r="P12" s="16">
        <f>IF($A12=P$3,0,ROUND(UAV_Params!$B$17*SQRT((ManualPoints!$C12-ManualPoints!$C17)^2+(ManualPoints!$D12-ManualPoints!$D17)^2)/UAV_Params!$B$16,0))</f>
        <v>323</v>
      </c>
      <c r="Q12" s="16">
        <f>IF($A12=Q$3,0,ROUND(UAV_Params!$B$17*SQRT((ManualPoints!$C12-ManualPoints!$C18)^2+(ManualPoints!$D12-ManualPoints!$D18)^2)/UAV_Params!$B$16,0))</f>
        <v>338</v>
      </c>
      <c r="R12" s="16">
        <f>IF($A12=R$3,0,ROUND(UAV_Params!$B$17*SQRT((ManualPoints!$C12-ManualPoints!$C19)^2+(ManualPoints!$D12-ManualPoints!$D19)^2)/UAV_Params!$B$16,0))</f>
        <v>406</v>
      </c>
      <c r="S12" s="16">
        <f>IF($A12=S$3,0,ROUND(UAV_Params!$B$17*SQRT((ManualPoints!$C12-ManualPoints!$C20)^2+(ManualPoints!$D12-ManualPoints!$D20)^2)/UAV_Params!$B$16,0))</f>
        <v>402</v>
      </c>
    </row>
    <row r="13" ht="16.5" customHeight="1" spans="1:19">
      <c r="A13" s="14" t="s">
        <v>135</v>
      </c>
      <c r="B13" s="17" t="s">
        <v>133</v>
      </c>
      <c r="C13" s="16">
        <f>IF($A13=C$3,0,ROUND(UAV_Params!$B$17*SQRT((ManualPoints!$C13-ManualPoints!$C4)^2+(ManualPoints!$D13-ManualPoints!$D4)^2)/UAV_Params!$B$16,0))</f>
        <v>126</v>
      </c>
      <c r="D13" s="16">
        <f>IF($A13=D$3,0,ROUND(UAV_Params!$B$17*SQRT((ManualPoints!$C13-ManualPoints!$C5)^2+(ManualPoints!$D13-ManualPoints!$D5)^2)/UAV_Params!$B$16,0))</f>
        <v>259</v>
      </c>
      <c r="E13" s="16">
        <f>IF($A13=E$3,0,ROUND(UAV_Params!$B$17*SQRT((ManualPoints!$C13-ManualPoints!$C6)^2+(ManualPoints!$D13-ManualPoints!$D6)^2)/UAV_Params!$B$16,0))</f>
        <v>248</v>
      </c>
      <c r="F13" s="16">
        <f>IF($A13=F$3,0,ROUND(UAV_Params!$B$17*SQRT((ManualPoints!$C13-ManualPoints!$C7)^2+(ManualPoints!$D13-ManualPoints!$D7)^2)/UAV_Params!$B$16,0))</f>
        <v>238</v>
      </c>
      <c r="G13" s="16">
        <f>IF($A13=G$3,0,ROUND(UAV_Params!$B$17*SQRT((ManualPoints!$C13-ManualPoints!$C8)^2+(ManualPoints!$D13-ManualPoints!$D8)^2)/UAV_Params!$B$16,0))</f>
        <v>209</v>
      </c>
      <c r="H13" s="16">
        <f>IF($A13=H$3,0,ROUND(UAV_Params!$B$17*SQRT((ManualPoints!$C13-ManualPoints!$C9)^2+(ManualPoints!$D13-ManualPoints!$D9)^2)/UAV_Params!$B$16,0))</f>
        <v>215</v>
      </c>
      <c r="I13" s="16">
        <f>IF($A13=I$3,0,ROUND(UAV_Params!$B$17*SQRT((ManualPoints!$C13-ManualPoints!$C10)^2+(ManualPoints!$D13-ManualPoints!$D10)^2)/UAV_Params!$B$16,0))</f>
        <v>205</v>
      </c>
      <c r="J13" s="16">
        <f>IF($A13=J$3,0,ROUND(UAV_Params!$B$17*SQRT((ManualPoints!$C13-ManualPoints!$C11)^2+(ManualPoints!$D13-ManualPoints!$D11)^2)/UAV_Params!$B$16,0))</f>
        <v>171</v>
      </c>
      <c r="K13" s="16">
        <f>IF($A13=K$3,0,ROUND(UAV_Params!$B$17*SQRT((ManualPoints!$C13-ManualPoints!$C12)^2+(ManualPoints!$D13-ManualPoints!$D12)^2)/UAV_Params!$B$16,0))</f>
        <v>169</v>
      </c>
      <c r="L13" s="16">
        <f>IF($A13=L$3,0,ROUND(UAV_Params!$B$17*SQRT((ManualPoints!$C13-ManualPoints!$C13)^2+(ManualPoints!$D13-ManualPoints!$D13)^2)/UAV_Params!$B$16,0))</f>
        <v>0</v>
      </c>
      <c r="M13" s="16">
        <f>IF($A13=M$3,0,ROUND(UAV_Params!$B$17*SQRT((ManualPoints!$C13-ManualPoints!$C14)^2+(ManualPoints!$D13-ManualPoints!$D14)^2)/UAV_Params!$B$16,0))</f>
        <v>14</v>
      </c>
      <c r="N13" s="16">
        <f>IF($A13=N$3,0,ROUND(UAV_Params!$B$17*SQRT((ManualPoints!$C13-ManualPoints!$C15)^2+(ManualPoints!$D13-ManualPoints!$D15)^2)/UAV_Params!$B$16,0))</f>
        <v>123</v>
      </c>
      <c r="O13" s="16">
        <f>IF($A13=O$3,0,ROUND(UAV_Params!$B$17*SQRT((ManualPoints!$C13-ManualPoints!$C16)^2+(ManualPoints!$D13-ManualPoints!$D16)^2)/UAV_Params!$B$16,0))</f>
        <v>110</v>
      </c>
      <c r="P13" s="16">
        <f>IF($A13=P$3,0,ROUND(UAV_Params!$B$17*SQRT((ManualPoints!$C13-ManualPoints!$C17)^2+(ManualPoints!$D13-ManualPoints!$D17)^2)/UAV_Params!$B$16,0))</f>
        <v>241</v>
      </c>
      <c r="Q13" s="16">
        <f>IF($A13=Q$3,0,ROUND(UAV_Params!$B$17*SQRT((ManualPoints!$C13-ManualPoints!$C18)^2+(ManualPoints!$D13-ManualPoints!$D18)^2)/UAV_Params!$B$16,0))</f>
        <v>258</v>
      </c>
      <c r="R13" s="16">
        <f>IF($A13=R$3,0,ROUND(UAV_Params!$B$17*SQRT((ManualPoints!$C13-ManualPoints!$C19)^2+(ManualPoints!$D13-ManualPoints!$D19)^2)/UAV_Params!$B$16,0))</f>
        <v>355</v>
      </c>
      <c r="S13" s="16">
        <f>IF($A13=S$3,0,ROUND(UAV_Params!$B$17*SQRT((ManualPoints!$C13-ManualPoints!$C20)^2+(ManualPoints!$D13-ManualPoints!$D20)^2)/UAV_Params!$B$16,0))</f>
        <v>357</v>
      </c>
    </row>
    <row r="14" ht="16.5" customHeight="1" spans="1:19">
      <c r="A14" s="14" t="s">
        <v>138</v>
      </c>
      <c r="B14" s="17" t="s">
        <v>137</v>
      </c>
      <c r="C14" s="16">
        <f>IF($A14=C$3,0,ROUND(UAV_Params!$B$17*SQRT((ManualPoints!$C14-ManualPoints!$C4)^2+(ManualPoints!$D14-ManualPoints!$D4)^2)/UAV_Params!$B$16,0))</f>
        <v>119</v>
      </c>
      <c r="D14" s="16">
        <f>IF($A14=D$3,0,ROUND(UAV_Params!$B$17*SQRT((ManualPoints!$C14-ManualPoints!$C5)^2+(ManualPoints!$D14-ManualPoints!$D5)^2)/UAV_Params!$B$16,0))</f>
        <v>247</v>
      </c>
      <c r="E14" s="16">
        <f>IF($A14=E$3,0,ROUND(UAV_Params!$B$17*SQRT((ManualPoints!$C14-ManualPoints!$C6)^2+(ManualPoints!$D14-ManualPoints!$D6)^2)/UAV_Params!$B$16,0))</f>
        <v>236</v>
      </c>
      <c r="F14" s="16">
        <f>IF($A14=F$3,0,ROUND(UAV_Params!$B$17*SQRT((ManualPoints!$C14-ManualPoints!$C7)^2+(ManualPoints!$D14-ManualPoints!$D7)^2)/UAV_Params!$B$16,0))</f>
        <v>226</v>
      </c>
      <c r="G14" s="16">
        <f>IF($A14=G$3,0,ROUND(UAV_Params!$B$17*SQRT((ManualPoints!$C14-ManualPoints!$C8)^2+(ManualPoints!$D14-ManualPoints!$D8)^2)/UAV_Params!$B$16,0))</f>
        <v>195</v>
      </c>
      <c r="H14" s="16">
        <f>IF($A14=H$3,0,ROUND(UAV_Params!$B$17*SQRT((ManualPoints!$C14-ManualPoints!$C9)^2+(ManualPoints!$D14-ManualPoints!$D9)^2)/UAV_Params!$B$16,0))</f>
        <v>201</v>
      </c>
      <c r="I14" s="16">
        <f>IF($A14=I$3,0,ROUND(UAV_Params!$B$17*SQRT((ManualPoints!$C14-ManualPoints!$C10)^2+(ManualPoints!$D14-ManualPoints!$D10)^2)/UAV_Params!$B$16,0))</f>
        <v>191</v>
      </c>
      <c r="J14" s="16">
        <f>IF($A14=J$3,0,ROUND(UAV_Params!$B$17*SQRT((ManualPoints!$C14-ManualPoints!$C11)^2+(ManualPoints!$D14-ManualPoints!$D11)^2)/UAV_Params!$B$16,0))</f>
        <v>157</v>
      </c>
      <c r="K14" s="16">
        <f>IF($A14=K$3,0,ROUND(UAV_Params!$B$17*SQRT((ManualPoints!$C14-ManualPoints!$C12)^2+(ManualPoints!$D14-ManualPoints!$D12)^2)/UAV_Params!$B$16,0))</f>
        <v>155</v>
      </c>
      <c r="L14" s="16">
        <f>IF($A14=L$3,0,ROUND(UAV_Params!$B$17*SQRT((ManualPoints!$C14-ManualPoints!$C13)^2+(ManualPoints!$D14-ManualPoints!$D13)^2)/UAV_Params!$B$16,0))</f>
        <v>14</v>
      </c>
      <c r="M14" s="16">
        <f>IF($A14=M$3,0,ROUND(UAV_Params!$B$17*SQRT((ManualPoints!$C14-ManualPoints!$C14)^2+(ManualPoints!$D14-ManualPoints!$D14)^2)/UAV_Params!$B$16,0))</f>
        <v>0</v>
      </c>
      <c r="N14" s="16">
        <f>IF($A14=N$3,0,ROUND(UAV_Params!$B$17*SQRT((ManualPoints!$C14-ManualPoints!$C15)^2+(ManualPoints!$D14-ManualPoints!$D15)^2)/UAV_Params!$B$16,0))</f>
        <v>134</v>
      </c>
      <c r="O14" s="16">
        <f>IF($A14=O$3,0,ROUND(UAV_Params!$B$17*SQRT((ManualPoints!$C14-ManualPoints!$C16)^2+(ManualPoints!$D14-ManualPoints!$D16)^2)/UAV_Params!$B$16,0))</f>
        <v>121</v>
      </c>
      <c r="P14" s="16">
        <f>IF($A14=P$3,0,ROUND(UAV_Params!$B$17*SQRT((ManualPoints!$C14-ManualPoints!$C17)^2+(ManualPoints!$D14-ManualPoints!$D17)^2)/UAV_Params!$B$16,0))</f>
        <v>241</v>
      </c>
      <c r="Q14" s="16">
        <f>IF($A14=Q$3,0,ROUND(UAV_Params!$B$17*SQRT((ManualPoints!$C14-ManualPoints!$C18)^2+(ManualPoints!$D14-ManualPoints!$D18)^2)/UAV_Params!$B$16,0))</f>
        <v>258</v>
      </c>
      <c r="R14" s="16">
        <f>IF($A14=R$3,0,ROUND(UAV_Params!$B$17*SQRT((ManualPoints!$C14-ManualPoints!$C19)^2+(ManualPoints!$D14-ManualPoints!$D19)^2)/UAV_Params!$B$16,0))</f>
        <v>352</v>
      </c>
      <c r="S14" s="16">
        <f>IF($A14=S$3,0,ROUND(UAV_Params!$B$17*SQRT((ManualPoints!$C14-ManualPoints!$C20)^2+(ManualPoints!$D14-ManualPoints!$D20)^2)/UAV_Params!$B$16,0))</f>
        <v>355</v>
      </c>
    </row>
    <row r="15" ht="16.5" customHeight="1" spans="1:19">
      <c r="A15" s="14" t="s">
        <v>143</v>
      </c>
      <c r="B15" s="17" t="s">
        <v>140</v>
      </c>
      <c r="C15" s="16">
        <f>IF($A15=C$3,0,ROUND(UAV_Params!$B$17*SQRT((ManualPoints!$C15-ManualPoints!$C4)^2+(ManualPoints!$D15-ManualPoints!$D4)^2)/UAV_Params!$B$16,0))</f>
        <v>162</v>
      </c>
      <c r="D15" s="16">
        <f>IF($A15=D$3,0,ROUND(UAV_Params!$B$17*SQRT((ManualPoints!$C15-ManualPoints!$C5)^2+(ManualPoints!$D15-ManualPoints!$D5)^2)/UAV_Params!$B$16,0))</f>
        <v>324</v>
      </c>
      <c r="E15" s="16">
        <f>IF($A15=E$3,0,ROUND(UAV_Params!$B$17*SQRT((ManualPoints!$C15-ManualPoints!$C6)^2+(ManualPoints!$D15-ManualPoints!$D6)^2)/UAV_Params!$B$16,0))</f>
        <v>309</v>
      </c>
      <c r="F15" s="16">
        <f>IF($A15=F$3,0,ROUND(UAV_Params!$B$17*SQRT((ManualPoints!$C15-ManualPoints!$C7)^2+(ManualPoints!$D15-ManualPoints!$D7)^2)/UAV_Params!$B$16,0))</f>
        <v>302</v>
      </c>
      <c r="G15" s="16">
        <f>IF($A15=G$3,0,ROUND(UAV_Params!$B$17*SQRT((ManualPoints!$C15-ManualPoints!$C8)^2+(ManualPoints!$D15-ManualPoints!$D8)^2)/UAV_Params!$B$16,0))</f>
        <v>304</v>
      </c>
      <c r="H15" s="16">
        <f>IF($A15=H$3,0,ROUND(UAV_Params!$B$17*SQRT((ManualPoints!$C15-ManualPoints!$C9)^2+(ManualPoints!$D15-ManualPoints!$D9)^2)/UAV_Params!$B$16,0))</f>
        <v>305</v>
      </c>
      <c r="I15" s="16">
        <f>IF($A15=I$3,0,ROUND(UAV_Params!$B$17*SQRT((ManualPoints!$C15-ManualPoints!$C10)^2+(ManualPoints!$D15-ManualPoints!$D10)^2)/UAV_Params!$B$16,0))</f>
        <v>305</v>
      </c>
      <c r="J15" s="16">
        <f>IF($A15=J$3,0,ROUND(UAV_Params!$B$17*SQRT((ManualPoints!$C15-ManualPoints!$C11)^2+(ManualPoints!$D15-ManualPoints!$D11)^2)/UAV_Params!$B$16,0))</f>
        <v>290</v>
      </c>
      <c r="K15" s="16">
        <f>IF($A15=K$3,0,ROUND(UAV_Params!$B$17*SQRT((ManualPoints!$C15-ManualPoints!$C12)^2+(ManualPoints!$D15-ManualPoints!$D12)^2)/UAV_Params!$B$16,0))</f>
        <v>285</v>
      </c>
      <c r="L15" s="16">
        <f>IF($A15=L$3,0,ROUND(UAV_Params!$B$17*SQRT((ManualPoints!$C15-ManualPoints!$C13)^2+(ManualPoints!$D15-ManualPoints!$D13)^2)/UAV_Params!$B$16,0))</f>
        <v>123</v>
      </c>
      <c r="M15" s="16">
        <f>IF($A15=M$3,0,ROUND(UAV_Params!$B$17*SQRT((ManualPoints!$C15-ManualPoints!$C14)^2+(ManualPoints!$D15-ManualPoints!$D14)^2)/UAV_Params!$B$16,0))</f>
        <v>134</v>
      </c>
      <c r="N15" s="16">
        <f>IF($A15=N$3,0,ROUND(UAV_Params!$B$17*SQRT((ManualPoints!$C15-ManualPoints!$C15)^2+(ManualPoints!$D15-ManualPoints!$D15)^2)/UAV_Params!$B$16,0))</f>
        <v>0</v>
      </c>
      <c r="O15" s="16">
        <f>IF($A15=O$3,0,ROUND(UAV_Params!$B$17*SQRT((ManualPoints!$C15-ManualPoints!$C16)^2+(ManualPoints!$D15-ManualPoints!$D16)^2)/UAV_Params!$B$16,0))</f>
        <v>14</v>
      </c>
      <c r="P15" s="16">
        <f>IF($A15=P$3,0,ROUND(UAV_Params!$B$17*SQRT((ManualPoints!$C15-ManualPoints!$C17)^2+(ManualPoints!$D15-ManualPoints!$D17)^2)/UAV_Params!$B$16,0))</f>
        <v>194</v>
      </c>
      <c r="Q15" s="16">
        <f>IF($A15=Q$3,0,ROUND(UAV_Params!$B$17*SQRT((ManualPoints!$C15-ManualPoints!$C18)^2+(ManualPoints!$D15-ManualPoints!$D18)^2)/UAV_Params!$B$16,0))</f>
        <v>209</v>
      </c>
      <c r="R15" s="16">
        <f>IF($A15=R$3,0,ROUND(UAV_Params!$B$17*SQRT((ManualPoints!$C15-ManualPoints!$C19)^2+(ManualPoints!$D15-ManualPoints!$D19)^2)/UAV_Params!$B$16,0))</f>
        <v>313</v>
      </c>
      <c r="S15" s="16">
        <f>IF($A15=S$3,0,ROUND(UAV_Params!$B$17*SQRT((ManualPoints!$C15-ManualPoints!$C20)^2+(ManualPoints!$D15-ManualPoints!$D20)^2)/UAV_Params!$B$16,0))</f>
        <v>322</v>
      </c>
    </row>
    <row r="16" ht="16.5" customHeight="1" spans="1:19">
      <c r="A16" s="14" t="s">
        <v>146</v>
      </c>
      <c r="B16" s="17" t="s">
        <v>144</v>
      </c>
      <c r="C16" s="16">
        <f>IF($A16=C$3,0,ROUND(UAV_Params!$B$17*SQRT((ManualPoints!$C16-ManualPoints!$C4)^2+(ManualPoints!$D16-ManualPoints!$D4)^2)/UAV_Params!$B$16,0))</f>
        <v>149</v>
      </c>
      <c r="D16" s="16">
        <f>IF($A16=D$3,0,ROUND(UAV_Params!$B$17*SQRT((ManualPoints!$C16-ManualPoints!$C5)^2+(ManualPoints!$D16-ManualPoints!$D5)^2)/UAV_Params!$B$16,0))</f>
        <v>310</v>
      </c>
      <c r="E16" s="16">
        <f>IF($A16=E$3,0,ROUND(UAV_Params!$B$17*SQRT((ManualPoints!$C16-ManualPoints!$C6)^2+(ManualPoints!$D16-ManualPoints!$D6)^2)/UAV_Params!$B$16,0))</f>
        <v>296</v>
      </c>
      <c r="F16" s="16">
        <f>IF($A16=F$3,0,ROUND(UAV_Params!$B$17*SQRT((ManualPoints!$C16-ManualPoints!$C7)^2+(ManualPoints!$D16-ManualPoints!$D7)^2)/UAV_Params!$B$16,0))</f>
        <v>289</v>
      </c>
      <c r="G16" s="16">
        <f>IF($A16=G$3,0,ROUND(UAV_Params!$B$17*SQRT((ManualPoints!$C16-ManualPoints!$C8)^2+(ManualPoints!$D16-ManualPoints!$D8)^2)/UAV_Params!$B$16,0))</f>
        <v>290</v>
      </c>
      <c r="H16" s="16">
        <f>IF($A16=H$3,0,ROUND(UAV_Params!$B$17*SQRT((ManualPoints!$C16-ManualPoints!$C9)^2+(ManualPoints!$D16-ManualPoints!$D9)^2)/UAV_Params!$B$16,0))</f>
        <v>291</v>
      </c>
      <c r="I16" s="16">
        <f>IF($A16=I$3,0,ROUND(UAV_Params!$B$17*SQRT((ManualPoints!$C16-ManualPoints!$C10)^2+(ManualPoints!$D16-ManualPoints!$D10)^2)/UAV_Params!$B$16,0))</f>
        <v>291</v>
      </c>
      <c r="J16" s="16">
        <f>IF($A16=J$3,0,ROUND(UAV_Params!$B$17*SQRT((ManualPoints!$C16-ManualPoints!$C11)^2+(ManualPoints!$D16-ManualPoints!$D11)^2)/UAV_Params!$B$16,0))</f>
        <v>276</v>
      </c>
      <c r="K16" s="16">
        <f>IF($A16=K$3,0,ROUND(UAV_Params!$B$17*SQRT((ManualPoints!$C16-ManualPoints!$C12)^2+(ManualPoints!$D16-ManualPoints!$D12)^2)/UAV_Params!$B$16,0))</f>
        <v>271</v>
      </c>
      <c r="L16" s="16">
        <f>IF($A16=L$3,0,ROUND(UAV_Params!$B$17*SQRT((ManualPoints!$C16-ManualPoints!$C13)^2+(ManualPoints!$D16-ManualPoints!$D13)^2)/UAV_Params!$B$16,0))</f>
        <v>110</v>
      </c>
      <c r="M16" s="16">
        <f>IF($A16=M$3,0,ROUND(UAV_Params!$B$17*SQRT((ManualPoints!$C16-ManualPoints!$C14)^2+(ManualPoints!$D16-ManualPoints!$D14)^2)/UAV_Params!$B$16,0))</f>
        <v>121</v>
      </c>
      <c r="N16" s="16">
        <f>IF($A16=N$3,0,ROUND(UAV_Params!$B$17*SQRT((ManualPoints!$C16-ManualPoints!$C15)^2+(ManualPoints!$D16-ManualPoints!$D15)^2)/UAV_Params!$B$16,0))</f>
        <v>14</v>
      </c>
      <c r="O16" s="16">
        <f>IF($A16=O$3,0,ROUND(UAV_Params!$B$17*SQRT((ManualPoints!$C16-ManualPoints!$C16)^2+(ManualPoints!$D16-ManualPoints!$D16)^2)/UAV_Params!$B$16,0))</f>
        <v>0</v>
      </c>
      <c r="P16" s="16">
        <f>IF($A16=P$3,0,ROUND(UAV_Params!$B$17*SQRT((ManualPoints!$C16-ManualPoints!$C17)^2+(ManualPoints!$D16-ManualPoints!$D17)^2)/UAV_Params!$B$16,0))</f>
        <v>189</v>
      </c>
      <c r="Q16" s="16">
        <f>IF($A16=Q$3,0,ROUND(UAV_Params!$B$17*SQRT((ManualPoints!$C16-ManualPoints!$C18)^2+(ManualPoints!$D16-ManualPoints!$D18)^2)/UAV_Params!$B$16,0))</f>
        <v>205</v>
      </c>
      <c r="R16" s="16">
        <f>IF($A16=R$3,0,ROUND(UAV_Params!$B$17*SQRT((ManualPoints!$C16-ManualPoints!$C19)^2+(ManualPoints!$D16-ManualPoints!$D19)^2)/UAV_Params!$B$16,0))</f>
        <v>309</v>
      </c>
      <c r="S16" s="16">
        <f>IF($A16=S$3,0,ROUND(UAV_Params!$B$17*SQRT((ManualPoints!$C16-ManualPoints!$C20)^2+(ManualPoints!$D16-ManualPoints!$D20)^2)/UAV_Params!$B$16,0))</f>
        <v>316</v>
      </c>
    </row>
    <row r="17" ht="16.5" customHeight="1" spans="1:19">
      <c r="A17" s="14" t="s">
        <v>150</v>
      </c>
      <c r="B17" s="17" t="s">
        <v>148</v>
      </c>
      <c r="C17" s="16">
        <f>IF($A17=C$3,0,ROUND(UAV_Params!$B$17*SQRT((ManualPoints!$C17-ManualPoints!$C4)^2+(ManualPoints!$D17-ManualPoints!$D4)^2)/UAV_Params!$B$16,0))</f>
        <v>144</v>
      </c>
      <c r="D17" s="16">
        <f>IF($A17=D$3,0,ROUND(UAV_Params!$B$17*SQRT((ManualPoints!$C17-ManualPoints!$C5)^2+(ManualPoints!$D17-ManualPoints!$D5)^2)/UAV_Params!$B$16,0))</f>
        <v>241</v>
      </c>
      <c r="E17" s="16">
        <f>IF($A17=E$3,0,ROUND(UAV_Params!$B$17*SQRT((ManualPoints!$C17-ManualPoints!$C6)^2+(ManualPoints!$D17-ManualPoints!$D6)^2)/UAV_Params!$B$16,0))</f>
        <v>226</v>
      </c>
      <c r="F17" s="16">
        <f>IF($A17=F$3,0,ROUND(UAV_Params!$B$17*SQRT((ManualPoints!$C17-ManualPoints!$C7)^2+(ManualPoints!$D17-ManualPoints!$D7)^2)/UAV_Params!$B$16,0))</f>
        <v>227</v>
      </c>
      <c r="G17" s="16">
        <f>IF($A17=G$3,0,ROUND(UAV_Params!$B$17*SQRT((ManualPoints!$C17-ManualPoints!$C8)^2+(ManualPoints!$D17-ManualPoints!$D8)^2)/UAV_Params!$B$16,0))</f>
        <v>284</v>
      </c>
      <c r="H17" s="16">
        <f>IF($A17=H$3,0,ROUND(UAV_Params!$B$17*SQRT((ManualPoints!$C17-ManualPoints!$C9)^2+(ManualPoints!$D17-ManualPoints!$D9)^2)/UAV_Params!$B$16,0))</f>
        <v>274</v>
      </c>
      <c r="I17" s="16">
        <f>IF($A17=I$3,0,ROUND(UAV_Params!$B$17*SQRT((ManualPoints!$C17-ManualPoints!$C10)^2+(ManualPoints!$D17-ManualPoints!$D10)^2)/UAV_Params!$B$16,0))</f>
        <v>296</v>
      </c>
      <c r="J17" s="16">
        <f>IF($A17=J$3,0,ROUND(UAV_Params!$B$17*SQRT((ManualPoints!$C17-ManualPoints!$C11)^2+(ManualPoints!$D17-ManualPoints!$D11)^2)/UAV_Params!$B$16,0))</f>
        <v>336</v>
      </c>
      <c r="K17" s="16">
        <f>IF($A17=K$3,0,ROUND(UAV_Params!$B$17*SQRT((ManualPoints!$C17-ManualPoints!$C12)^2+(ManualPoints!$D17-ManualPoints!$D12)^2)/UAV_Params!$B$16,0))</f>
        <v>323</v>
      </c>
      <c r="L17" s="16">
        <f>IF($A17=L$3,0,ROUND(UAV_Params!$B$17*SQRT((ManualPoints!$C17-ManualPoints!$C13)^2+(ManualPoints!$D17-ManualPoints!$D13)^2)/UAV_Params!$B$16,0))</f>
        <v>241</v>
      </c>
      <c r="M17" s="16">
        <f>IF($A17=M$3,0,ROUND(UAV_Params!$B$17*SQRT((ManualPoints!$C17-ManualPoints!$C14)^2+(ManualPoints!$D17-ManualPoints!$D14)^2)/UAV_Params!$B$16,0))</f>
        <v>241</v>
      </c>
      <c r="N17" s="16">
        <f>IF($A17=N$3,0,ROUND(UAV_Params!$B$17*SQRT((ManualPoints!$C17-ManualPoints!$C15)^2+(ManualPoints!$D17-ManualPoints!$D15)^2)/UAV_Params!$B$16,0))</f>
        <v>194</v>
      </c>
      <c r="O17" s="16">
        <f>IF($A17=O$3,0,ROUND(UAV_Params!$B$17*SQRT((ManualPoints!$C17-ManualPoints!$C16)^2+(ManualPoints!$D17-ManualPoints!$D16)^2)/UAV_Params!$B$16,0))</f>
        <v>189</v>
      </c>
      <c r="P17" s="16">
        <f>IF($A17=P$3,0,ROUND(UAV_Params!$B$17*SQRT((ManualPoints!$C17-ManualPoints!$C17)^2+(ManualPoints!$D17-ManualPoints!$D17)^2)/UAV_Params!$B$16,0))</f>
        <v>0</v>
      </c>
      <c r="Q17" s="16">
        <f>IF($A17=Q$3,0,ROUND(UAV_Params!$B$17*SQRT((ManualPoints!$C17-ManualPoints!$C18)^2+(ManualPoints!$D17-ManualPoints!$D18)^2)/UAV_Params!$B$16,0))</f>
        <v>17</v>
      </c>
      <c r="R17" s="16">
        <f>IF($A17=R$3,0,ROUND(UAV_Params!$B$17*SQRT((ManualPoints!$C17-ManualPoints!$C19)^2+(ManualPoints!$D17-ManualPoints!$D19)^2)/UAV_Params!$B$16,0))</f>
        <v>119</v>
      </c>
      <c r="S17" s="16">
        <f>IF($A17=S$3,0,ROUND(UAV_Params!$B$17*SQRT((ManualPoints!$C17-ManualPoints!$C20)^2+(ManualPoints!$D17-ManualPoints!$D20)^2)/UAV_Params!$B$16,0))</f>
        <v>127</v>
      </c>
    </row>
    <row r="18" ht="16.5" customHeight="1" spans="1:19">
      <c r="A18" s="14" t="s">
        <v>154</v>
      </c>
      <c r="B18" s="17" t="s">
        <v>152</v>
      </c>
      <c r="C18" s="16">
        <f>IF($A18=C$3,0,ROUND(UAV_Params!$B$17*SQRT((ManualPoints!$C18-ManualPoints!$C4)^2+(ManualPoints!$D18-ManualPoints!$D4)^2)/UAV_Params!$B$16,0))</f>
        <v>159</v>
      </c>
      <c r="D18" s="16">
        <f>IF($A18=D$3,0,ROUND(UAV_Params!$B$17*SQRT((ManualPoints!$C18-ManualPoints!$C5)^2+(ManualPoints!$D18-ManualPoints!$D5)^2)/UAV_Params!$B$16,0))</f>
        <v>250</v>
      </c>
      <c r="E18" s="16">
        <f>IF($A18=E$3,0,ROUND(UAV_Params!$B$17*SQRT((ManualPoints!$C18-ManualPoints!$C6)^2+(ManualPoints!$D18-ManualPoints!$D6)^2)/UAV_Params!$B$16,0))</f>
        <v>234</v>
      </c>
      <c r="F18" s="16">
        <f>IF($A18=F$3,0,ROUND(UAV_Params!$B$17*SQRT((ManualPoints!$C18-ManualPoints!$C7)^2+(ManualPoints!$D18-ManualPoints!$D7)^2)/UAV_Params!$B$16,0))</f>
        <v>236</v>
      </c>
      <c r="G18" s="16">
        <f>IF($A18=G$3,0,ROUND(UAV_Params!$B$17*SQRT((ManualPoints!$C18-ManualPoints!$C8)^2+(ManualPoints!$D18-ManualPoints!$D8)^2)/UAV_Params!$B$16,0))</f>
        <v>296</v>
      </c>
      <c r="H18" s="16">
        <f>IF($A18=H$3,0,ROUND(UAV_Params!$B$17*SQRT((ManualPoints!$C18-ManualPoints!$C9)^2+(ManualPoints!$D18-ManualPoints!$D9)^2)/UAV_Params!$B$16,0))</f>
        <v>286</v>
      </c>
      <c r="I18" s="16">
        <f>IF($A18=I$3,0,ROUND(UAV_Params!$B$17*SQRT((ManualPoints!$C18-ManualPoints!$C10)^2+(ManualPoints!$D18-ManualPoints!$D10)^2)/UAV_Params!$B$16,0))</f>
        <v>309</v>
      </c>
      <c r="J18" s="16">
        <f>IF($A18=J$3,0,ROUND(UAV_Params!$B$17*SQRT((ManualPoints!$C18-ManualPoints!$C11)^2+(ManualPoints!$D18-ManualPoints!$D11)^2)/UAV_Params!$B$16,0))</f>
        <v>352</v>
      </c>
      <c r="K18" s="16">
        <f>IF($A18=K$3,0,ROUND(UAV_Params!$B$17*SQRT((ManualPoints!$C18-ManualPoints!$C12)^2+(ManualPoints!$D18-ManualPoints!$D12)^2)/UAV_Params!$B$16,0))</f>
        <v>338</v>
      </c>
      <c r="L18" s="16">
        <f>IF($A18=L$3,0,ROUND(UAV_Params!$B$17*SQRT((ManualPoints!$C18-ManualPoints!$C13)^2+(ManualPoints!$D18-ManualPoints!$D13)^2)/UAV_Params!$B$16,0))</f>
        <v>258</v>
      </c>
      <c r="M18" s="16">
        <f>IF($A18=M$3,0,ROUND(UAV_Params!$B$17*SQRT((ManualPoints!$C18-ManualPoints!$C14)^2+(ManualPoints!$D18-ManualPoints!$D14)^2)/UAV_Params!$B$16,0))</f>
        <v>258</v>
      </c>
      <c r="N18" s="16">
        <f>IF($A18=N$3,0,ROUND(UAV_Params!$B$17*SQRT((ManualPoints!$C18-ManualPoints!$C15)^2+(ManualPoints!$D18-ManualPoints!$D15)^2)/UAV_Params!$B$16,0))</f>
        <v>209</v>
      </c>
      <c r="O18" s="16">
        <f>IF($A18=O$3,0,ROUND(UAV_Params!$B$17*SQRT((ManualPoints!$C18-ManualPoints!$C16)^2+(ManualPoints!$D18-ManualPoints!$D16)^2)/UAV_Params!$B$16,0))</f>
        <v>205</v>
      </c>
      <c r="P18" s="16">
        <f>IF($A18=P$3,0,ROUND(UAV_Params!$B$17*SQRT((ManualPoints!$C18-ManualPoints!$C17)^2+(ManualPoints!$D18-ManualPoints!$D17)^2)/UAV_Params!$B$16,0))</f>
        <v>17</v>
      </c>
      <c r="Q18" s="16">
        <f>IF($A18=Q$3,0,ROUND(UAV_Params!$B$17*SQRT((ManualPoints!$C18-ManualPoints!$C18)^2+(ManualPoints!$D18-ManualPoints!$D18)^2)/UAV_Params!$B$16,0))</f>
        <v>0</v>
      </c>
      <c r="R18" s="16">
        <f>IF($A18=R$3,0,ROUND(UAV_Params!$B$17*SQRT((ManualPoints!$C18-ManualPoints!$C19)^2+(ManualPoints!$D18-ManualPoints!$D19)^2)/UAV_Params!$B$16,0))</f>
        <v>104</v>
      </c>
      <c r="S18" s="16">
        <f>IF($A18=S$3,0,ROUND(UAV_Params!$B$17*SQRT((ManualPoints!$C18-ManualPoints!$C20)^2+(ManualPoints!$D18-ManualPoints!$D20)^2)/UAV_Params!$B$16,0))</f>
        <v>113</v>
      </c>
    </row>
    <row r="19" ht="16.5" customHeight="1" spans="1:19">
      <c r="A19" s="14" t="s">
        <v>158</v>
      </c>
      <c r="B19" s="17" t="s">
        <v>156</v>
      </c>
      <c r="C19" s="16">
        <f>IF($A19=C$3,0,ROUND(UAV_Params!$B$17*SQRT((ManualPoints!$C19-ManualPoints!$C4)^2+(ManualPoints!$D19-ManualPoints!$D4)^2)/UAV_Params!$B$16,0))</f>
        <v>241</v>
      </c>
      <c r="D19" s="16">
        <f>IF($A19=D$3,0,ROUND(UAV_Params!$B$17*SQRT((ManualPoints!$C19-ManualPoints!$C5)^2+(ManualPoints!$D19-ManualPoints!$D5)^2)/UAV_Params!$B$16,0))</f>
        <v>274</v>
      </c>
      <c r="E19" s="16">
        <f>IF($A19=E$3,0,ROUND(UAV_Params!$B$17*SQRT((ManualPoints!$C19-ManualPoints!$C6)^2+(ManualPoints!$D19-ManualPoints!$D6)^2)/UAV_Params!$B$16,0))</f>
        <v>262</v>
      </c>
      <c r="F19" s="16">
        <f>IF($A19=F$3,0,ROUND(UAV_Params!$B$17*SQRT((ManualPoints!$C19-ManualPoints!$C7)^2+(ManualPoints!$D19-ManualPoints!$D7)^2)/UAV_Params!$B$16,0))</f>
        <v>269</v>
      </c>
      <c r="G19" s="16">
        <f>IF($A19=G$3,0,ROUND(UAV_Params!$B$17*SQRT((ManualPoints!$C19-ManualPoints!$C8)^2+(ManualPoints!$D19-ManualPoints!$D8)^2)/UAV_Params!$B$16,0))</f>
        <v>346</v>
      </c>
      <c r="H19" s="16">
        <f>IF($A19=H$3,0,ROUND(UAV_Params!$B$17*SQRT((ManualPoints!$C19-ManualPoints!$C9)^2+(ManualPoints!$D19-ManualPoints!$D9)^2)/UAV_Params!$B$16,0))</f>
        <v>332</v>
      </c>
      <c r="I19" s="16">
        <f>IF($A19=I$3,0,ROUND(UAV_Params!$B$17*SQRT((ManualPoints!$C19-ManualPoints!$C10)^2+(ManualPoints!$D19-ManualPoints!$D10)^2)/UAV_Params!$B$16,0))</f>
        <v>362</v>
      </c>
      <c r="J19" s="16">
        <f>IF($A19=J$3,0,ROUND(UAV_Params!$B$17*SQRT((ManualPoints!$C19-ManualPoints!$C11)^2+(ManualPoints!$D19-ManualPoints!$D11)^2)/UAV_Params!$B$16,0))</f>
        <v>422</v>
      </c>
      <c r="K19" s="16">
        <f>IF($A19=K$3,0,ROUND(UAV_Params!$B$17*SQRT((ManualPoints!$C19-ManualPoints!$C12)^2+(ManualPoints!$D19-ManualPoints!$D12)^2)/UAV_Params!$B$16,0))</f>
        <v>406</v>
      </c>
      <c r="L19" s="16">
        <f>IF($A19=L$3,0,ROUND(UAV_Params!$B$17*SQRT((ManualPoints!$C19-ManualPoints!$C13)^2+(ManualPoints!$D19-ManualPoints!$D13)^2)/UAV_Params!$B$16,0))</f>
        <v>355</v>
      </c>
      <c r="M19" s="16">
        <f>IF($A19=M$3,0,ROUND(UAV_Params!$B$17*SQRT((ManualPoints!$C19-ManualPoints!$C14)^2+(ManualPoints!$D19-ManualPoints!$D14)^2)/UAV_Params!$B$16,0))</f>
        <v>352</v>
      </c>
      <c r="N19" s="16">
        <f>IF($A19=N$3,0,ROUND(UAV_Params!$B$17*SQRT((ManualPoints!$C19-ManualPoints!$C15)^2+(ManualPoints!$D19-ManualPoints!$D15)^2)/UAV_Params!$B$16,0))</f>
        <v>313</v>
      </c>
      <c r="O19" s="16">
        <f>IF($A19=O$3,0,ROUND(UAV_Params!$B$17*SQRT((ManualPoints!$C19-ManualPoints!$C16)^2+(ManualPoints!$D19-ManualPoints!$D16)^2)/UAV_Params!$B$16,0))</f>
        <v>309</v>
      </c>
      <c r="P19" s="16">
        <f>IF($A19=P$3,0,ROUND(UAV_Params!$B$17*SQRT((ManualPoints!$C19-ManualPoints!$C17)^2+(ManualPoints!$D19-ManualPoints!$D17)^2)/UAV_Params!$B$16,0))</f>
        <v>119</v>
      </c>
      <c r="Q19" s="16">
        <f>IF($A19=Q$3,0,ROUND(UAV_Params!$B$17*SQRT((ManualPoints!$C19-ManualPoints!$C18)^2+(ManualPoints!$D19-ManualPoints!$D18)^2)/UAV_Params!$B$16,0))</f>
        <v>104</v>
      </c>
      <c r="R19" s="16">
        <f>IF($A19=R$3,0,ROUND(UAV_Params!$B$17*SQRT((ManualPoints!$C19-ManualPoints!$C19)^2+(ManualPoints!$D19-ManualPoints!$D19)^2)/UAV_Params!$B$16,0))</f>
        <v>0</v>
      </c>
      <c r="S19" s="16">
        <f>IF($A19=S$3,0,ROUND(UAV_Params!$B$17*SQRT((ManualPoints!$C19-ManualPoints!$C20)^2+(ManualPoints!$D19-ManualPoints!$D20)^2)/UAV_Params!$B$16,0))</f>
        <v>17</v>
      </c>
    </row>
    <row r="20" ht="16.5" customHeight="1" spans="1:19">
      <c r="A20" s="14" t="s">
        <v>162</v>
      </c>
      <c r="B20" s="17" t="s">
        <v>160</v>
      </c>
      <c r="C20" s="16">
        <f>IF($A20=C$3,0,ROUND(UAV_Params!$B$17*SQRT((ManualPoints!$C20-ManualPoints!$C4)^2+(ManualPoints!$D20-ManualPoints!$D4)^2)/UAV_Params!$B$16,0))</f>
        <v>241</v>
      </c>
      <c r="D20" s="16">
        <f>IF($A20=D$3,0,ROUND(UAV_Params!$B$17*SQRT((ManualPoints!$C20-ManualPoints!$C5)^2+(ManualPoints!$D20-ManualPoints!$D5)^2)/UAV_Params!$B$16,0))</f>
        <v>264</v>
      </c>
      <c r="E20" s="16">
        <f>IF($A20=E$3,0,ROUND(UAV_Params!$B$17*SQRT((ManualPoints!$C20-ManualPoints!$C6)^2+(ManualPoints!$D20-ManualPoints!$D6)^2)/UAV_Params!$B$16,0))</f>
        <v>252</v>
      </c>
      <c r="F20" s="16">
        <f>IF($A20=F$3,0,ROUND(UAV_Params!$B$17*SQRT((ManualPoints!$C20-ManualPoints!$C7)^2+(ManualPoints!$D20-ManualPoints!$D7)^2)/UAV_Params!$B$16,0))</f>
        <v>260</v>
      </c>
      <c r="G20" s="16">
        <f>IF($A20=G$3,0,ROUND(UAV_Params!$B$17*SQRT((ManualPoints!$C20-ManualPoints!$C8)^2+(ManualPoints!$D20-ManualPoints!$D8)^2)/UAV_Params!$B$16,0))</f>
        <v>339</v>
      </c>
      <c r="H20" s="16">
        <f>IF($A20=H$3,0,ROUND(UAV_Params!$B$17*SQRT((ManualPoints!$C20-ManualPoints!$C9)^2+(ManualPoints!$D20-ManualPoints!$D9)^2)/UAV_Params!$B$16,0))</f>
        <v>325</v>
      </c>
      <c r="I20" s="16">
        <f>IF($A20=I$3,0,ROUND(UAV_Params!$B$17*SQRT((ManualPoints!$C20-ManualPoints!$C10)^2+(ManualPoints!$D20-ManualPoints!$D10)^2)/UAV_Params!$B$16,0))</f>
        <v>355</v>
      </c>
      <c r="J20" s="16">
        <f>IF($A20=J$3,0,ROUND(UAV_Params!$B$17*SQRT((ManualPoints!$C20-ManualPoints!$C11)^2+(ManualPoints!$D20-ManualPoints!$D11)^2)/UAV_Params!$B$16,0))</f>
        <v>418</v>
      </c>
      <c r="K20" s="16">
        <f>IF($A20=K$3,0,ROUND(UAV_Params!$B$17*SQRT((ManualPoints!$C20-ManualPoints!$C12)^2+(ManualPoints!$D20-ManualPoints!$D12)^2)/UAV_Params!$B$16,0))</f>
        <v>402</v>
      </c>
      <c r="L20" s="16">
        <f>IF($A20=L$3,0,ROUND(UAV_Params!$B$17*SQRT((ManualPoints!$C20-ManualPoints!$C13)^2+(ManualPoints!$D20-ManualPoints!$D13)^2)/UAV_Params!$B$16,0))</f>
        <v>357</v>
      </c>
      <c r="M20" s="16">
        <f>IF($A20=M$3,0,ROUND(UAV_Params!$B$17*SQRT((ManualPoints!$C20-ManualPoints!$C14)^2+(ManualPoints!$D20-ManualPoints!$D14)^2)/UAV_Params!$B$16,0))</f>
        <v>355</v>
      </c>
      <c r="N20" s="16">
        <f>IF($A20=N$3,0,ROUND(UAV_Params!$B$17*SQRT((ManualPoints!$C20-ManualPoints!$C15)^2+(ManualPoints!$D20-ManualPoints!$D15)^2)/UAV_Params!$B$16,0))</f>
        <v>322</v>
      </c>
      <c r="O20" s="16">
        <f>IF($A20=O$3,0,ROUND(UAV_Params!$B$17*SQRT((ManualPoints!$C20-ManualPoints!$C16)^2+(ManualPoints!$D20-ManualPoints!$D16)^2)/UAV_Params!$B$16,0))</f>
        <v>316</v>
      </c>
      <c r="P20" s="16">
        <f>IF($A20=P$3,0,ROUND(UAV_Params!$B$17*SQRT((ManualPoints!$C20-ManualPoints!$C17)^2+(ManualPoints!$D20-ManualPoints!$D17)^2)/UAV_Params!$B$16,0))</f>
        <v>127</v>
      </c>
      <c r="Q20" s="16">
        <f>IF($A20=Q$3,0,ROUND(UAV_Params!$B$17*SQRT((ManualPoints!$C20-ManualPoints!$C18)^2+(ManualPoints!$D20-ManualPoints!$D18)^2)/UAV_Params!$B$16,0))</f>
        <v>113</v>
      </c>
      <c r="R20" s="16">
        <f>IF($A20=R$3,0,ROUND(UAV_Params!$B$17*SQRT((ManualPoints!$C20-ManualPoints!$C19)^2+(ManualPoints!$D20-ManualPoints!$D19)^2)/UAV_Params!$B$16,0))</f>
        <v>17</v>
      </c>
      <c r="S20" s="16">
        <f>IF($A20=S$3,0,ROUND(UAV_Params!$B$17*SQRT((ManualPoints!$C20-ManualPoints!$C20)^2+(ManualPoints!$D20-ManualPoints!$D20)^2)/UAV_Params!$B$16,0))</f>
        <v>0</v>
      </c>
    </row>
  </sheetData>
  <mergeCells count="1">
    <mergeCell ref="A1:S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:D1"/>
    </sheetView>
  </sheetViews>
  <sheetFormatPr defaultColWidth="8.68181818181818" defaultRowHeight="15" customHeight="1" outlineLevelCol="3"/>
  <cols>
    <col min="1" max="1" width="30" style="1" customWidth="1"/>
    <col min="2" max="2" width="20" style="1" customWidth="1"/>
    <col min="3" max="3" width="10" style="1" customWidth="1"/>
    <col min="4" max="4" width="36" style="1" customWidth="1"/>
  </cols>
  <sheetData>
    <row r="1" ht="15.75" customHeight="1" spans="1:4">
      <c r="A1" s="6" t="s">
        <v>190</v>
      </c>
      <c r="B1" s="6"/>
      <c r="C1" s="6"/>
      <c r="D1" s="6"/>
    </row>
    <row r="3" customHeight="1" spans="1:4">
      <c r="A3" s="7" t="s">
        <v>191</v>
      </c>
      <c r="B3" s="7" t="s">
        <v>192</v>
      </c>
      <c r="C3" s="7" t="s">
        <v>193</v>
      </c>
      <c r="D3" s="7" t="s">
        <v>2</v>
      </c>
    </row>
    <row r="4" ht="16.5" customHeight="1" spans="1:4">
      <c r="A4" s="8" t="s">
        <v>194</v>
      </c>
      <c r="B4" s="9">
        <f>COUNTIF(NodeData!A4:A20,"&gt;0")</f>
        <v>16</v>
      </c>
      <c r="C4" s="10" t="s">
        <v>195</v>
      </c>
      <c r="D4" s="11" t="s">
        <v>196</v>
      </c>
    </row>
    <row r="5" ht="32.25" customHeight="1" spans="1:4">
      <c r="A5" s="8" t="s">
        <v>197</v>
      </c>
      <c r="B5" s="9">
        <f>SUM(NodeData!J5:J20)</f>
        <v>790</v>
      </c>
      <c r="C5" s="12" t="s">
        <v>60</v>
      </c>
      <c r="D5" s="11" t="s">
        <v>198</v>
      </c>
    </row>
    <row r="6" ht="32.25" customHeight="1" spans="1:4">
      <c r="A6" s="8" t="s">
        <v>199</v>
      </c>
      <c r="B6" s="9">
        <f>SUM(NodeData!K5:K20)</f>
        <v>5210</v>
      </c>
      <c r="C6" s="12" t="s">
        <v>60</v>
      </c>
      <c r="D6" s="11" t="s">
        <v>200</v>
      </c>
    </row>
    <row r="7" ht="16.5" customHeight="1" spans="1:4">
      <c r="A7" s="8" t="s">
        <v>201</v>
      </c>
      <c r="B7" s="9" t="str">
        <f>IF(MIN(NodeData!L5:L20)&gt;=0,"是","否")</f>
        <v>是</v>
      </c>
      <c r="C7" s="12" t="s">
        <v>67</v>
      </c>
      <c r="D7" s="11" t="s">
        <v>202</v>
      </c>
    </row>
    <row r="8" ht="16.5" customHeight="1" spans="1:4">
      <c r="A8" s="8" t="s">
        <v>203</v>
      </c>
      <c r="B8" s="9">
        <f>UAV_Params!B7</f>
        <v>135000</v>
      </c>
      <c r="C8" s="12" t="s">
        <v>38</v>
      </c>
      <c r="D8" s="11" t="s">
        <v>204</v>
      </c>
    </row>
    <row r="9" ht="16.5" customHeight="1" spans="1:4">
      <c r="A9" s="8" t="s">
        <v>205</v>
      </c>
      <c r="B9" s="9">
        <f>MAX(NodeData!R5:R20)</f>
        <v>24086</v>
      </c>
      <c r="C9" s="12" t="s">
        <v>38</v>
      </c>
      <c r="D9" s="11" t="s">
        <v>206</v>
      </c>
    </row>
    <row r="10" ht="16.5" customHeight="1" spans="1:4">
      <c r="A10" s="8" t="s">
        <v>207</v>
      </c>
      <c r="B10" s="9">
        <f>MAX(NodeData!S5:S20)</f>
        <v>132986</v>
      </c>
      <c r="C10" s="12" t="s">
        <v>38</v>
      </c>
      <c r="D10" s="11" t="s">
        <v>208</v>
      </c>
    </row>
    <row r="11" ht="16.5" customHeight="1" spans="1:4">
      <c r="A11" s="8" t="s">
        <v>209</v>
      </c>
      <c r="B11" s="9">
        <f>SUM(NodeData!J5:J20)*UAV_Params!B13</f>
        <v>173800</v>
      </c>
      <c r="C11" s="12" t="s">
        <v>38</v>
      </c>
      <c r="D11" s="11" t="s">
        <v>210</v>
      </c>
    </row>
    <row r="12" ht="16.5" customHeight="1" spans="1:4">
      <c r="A12" s="8" t="s">
        <v>211</v>
      </c>
      <c r="B12" s="9">
        <f>SUM(NodeData!K5:K20)*UAV_Params!B13</f>
        <v>1146200</v>
      </c>
      <c r="C12" s="12" t="s">
        <v>38</v>
      </c>
      <c r="D12" s="11" t="s">
        <v>210</v>
      </c>
    </row>
    <row r="13" ht="32.25" customHeight="1" spans="1:4">
      <c r="A13" s="8" t="s">
        <v>212</v>
      </c>
      <c r="B13" s="9">
        <f>SUM(NodeData!P5:P20)</f>
        <v>2670</v>
      </c>
      <c r="C13" s="12" t="s">
        <v>60</v>
      </c>
      <c r="D13" s="11" t="s">
        <v>213</v>
      </c>
    </row>
    <row r="14" ht="32.25" customHeight="1" spans="1:4">
      <c r="A14" s="8" t="s">
        <v>214</v>
      </c>
      <c r="B14" s="9">
        <f>UAV_Params!B15</f>
        <v>2600</v>
      </c>
      <c r="C14" s="12" t="s">
        <v>60</v>
      </c>
      <c r="D14" s="11" t="s">
        <v>215</v>
      </c>
    </row>
    <row r="15" ht="32.25" customHeight="1" spans="1:4">
      <c r="A15" s="5" t="s">
        <v>216</v>
      </c>
      <c r="B15" s="1" t="str">
        <f>IF(MAX(NodeData!S5:S20)&lt;=UAV_Params!B7,"是","否")</f>
        <v>是</v>
      </c>
      <c r="C15" s="1" t="s">
        <v>67</v>
      </c>
      <c r="D15" s="5" t="s">
        <v>217</v>
      </c>
    </row>
    <row r="16" ht="32.25" customHeight="1" spans="1:4">
      <c r="A16" s="5" t="s">
        <v>218</v>
      </c>
      <c r="B16" s="1" t="str">
        <f>IF(AND(NodeData!N4=0,NodeData!O4=0,ManualPoints!D4=0,ManualPoints!E4=0),"是","否")</f>
        <v>是</v>
      </c>
      <c r="C16" s="1" t="s">
        <v>67</v>
      </c>
      <c r="D16" s="5" t="s">
        <v>219</v>
      </c>
    </row>
    <row r="17" ht="13" spans="1:4">
      <c r="A17" s="5" t="s">
        <v>2</v>
      </c>
      <c r="B17" s="1" t="s">
        <v>220</v>
      </c>
      <c r="C17" s="1" t="s">
        <v>67</v>
      </c>
      <c r="D17" s="5" t="s">
        <v>221</v>
      </c>
    </row>
    <row r="18" ht="28" spans="1:4">
      <c r="A18" s="8" t="s">
        <v>222</v>
      </c>
      <c r="B18" s="9">
        <f>ROUNDUP(B11/B8,0)</f>
        <v>2</v>
      </c>
      <c r="C18" s="10" t="s">
        <v>223</v>
      </c>
      <c r="D18" s="11" t="s">
        <v>224</v>
      </c>
    </row>
    <row r="19" ht="28" spans="1:4">
      <c r="A19" s="8" t="s">
        <v>225</v>
      </c>
      <c r="B19" s="9">
        <f>ROUNDUP(B12/B8,0)</f>
        <v>9</v>
      </c>
      <c r="C19" s="10" t="s">
        <v>223</v>
      </c>
      <c r="D19" s="11" t="s">
        <v>224</v>
      </c>
    </row>
  </sheetData>
  <mergeCells count="1">
    <mergeCell ref="A1:D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A1" sqref="A1:C1"/>
    </sheetView>
  </sheetViews>
  <sheetFormatPr defaultColWidth="8.68181818181818" defaultRowHeight="15" customHeight="1" outlineLevelCol="2"/>
  <cols>
    <col min="1" max="1" width="18" style="1" customWidth="1"/>
    <col min="2" max="2" width="42" style="1" customWidth="1"/>
    <col min="3" max="3" width="30" style="1" customWidth="1"/>
  </cols>
  <sheetData>
    <row r="1" ht="17.25" customHeight="1" spans="1:3">
      <c r="A1" s="2" t="s">
        <v>226</v>
      </c>
      <c r="B1" s="2"/>
      <c r="C1" s="2"/>
    </row>
    <row r="3" customHeight="1" spans="1:3">
      <c r="A3" s="3" t="s">
        <v>227</v>
      </c>
      <c r="B3" s="3" t="s">
        <v>228</v>
      </c>
      <c r="C3" s="3" t="s">
        <v>229</v>
      </c>
    </row>
    <row r="4" ht="32.25" customHeight="1" spans="1:3">
      <c r="A4" s="4" t="s">
        <v>230</v>
      </c>
      <c r="B4" s="4" t="s">
        <v>231</v>
      </c>
      <c r="C4" s="4" t="s">
        <v>232</v>
      </c>
    </row>
    <row r="5" ht="30" customHeight="1" spans="1:3">
      <c r="A5" s="4" t="s">
        <v>233</v>
      </c>
      <c r="B5" s="4" t="s">
        <v>234</v>
      </c>
      <c r="C5" s="4" t="s">
        <v>235</v>
      </c>
    </row>
    <row r="6" ht="16.5" customHeight="1" spans="1:3">
      <c r="A6" s="4" t="s">
        <v>236</v>
      </c>
      <c r="B6" s="4" t="s">
        <v>237</v>
      </c>
      <c r="C6" s="4" t="s">
        <v>238</v>
      </c>
    </row>
    <row r="7" ht="32.25" customHeight="1" spans="1:3">
      <c r="A7" s="4" t="s">
        <v>239</v>
      </c>
      <c r="B7" s="4" t="s">
        <v>240</v>
      </c>
      <c r="C7" s="4" t="s">
        <v>241</v>
      </c>
    </row>
    <row r="8" ht="32.25" customHeight="1" spans="1:3">
      <c r="A8" s="4" t="s">
        <v>242</v>
      </c>
      <c r="B8" s="4" t="s">
        <v>243</v>
      </c>
      <c r="C8" s="4" t="s">
        <v>244</v>
      </c>
    </row>
    <row r="9" ht="13" spans="1:3">
      <c r="A9" s="5" t="s">
        <v>245</v>
      </c>
      <c r="B9" s="5" t="s">
        <v>246</v>
      </c>
      <c r="C9" s="5" t="s">
        <v>247</v>
      </c>
    </row>
    <row r="10" ht="13" spans="1:3">
      <c r="A10" s="5" t="s">
        <v>248</v>
      </c>
      <c r="B10" s="5" t="s">
        <v>249</v>
      </c>
      <c r="C10" s="5" t="s">
        <v>250</v>
      </c>
    </row>
    <row r="11" ht="13" spans="1:3">
      <c r="A11" s="5" t="s">
        <v>251</v>
      </c>
      <c r="B11" s="5" t="s">
        <v>252</v>
      </c>
      <c r="C11" s="5" t="s">
        <v>253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LibreOffice/25.2.3.2$Linux_X86_64 LibreOffice_project/520$Build-2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Notes</vt:lpstr>
      <vt:lpstr>UAV_Params</vt:lpstr>
      <vt:lpstr>NodeData</vt:lpstr>
      <vt:lpstr>ManualPoints</vt:lpstr>
      <vt:lpstr>FlightTime</vt:lpstr>
      <vt:lpstr>FlightEnergy</vt:lpstr>
      <vt:lpstr>GroundTime</vt:lpstr>
      <vt:lpstr>Checks</vt:lpstr>
      <vt:lpstr>RevisionLog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程序岛</cp:lastModifiedBy>
  <dcterms:created xsi:type="dcterms:W3CDTF">2026-04-14T08:16:19Z</dcterms:created>
  <dcterms:modified xsi:type="dcterms:W3CDTF">2026-04-14T08:16:37Z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AC9439579BBB447CB07D494BED868FBB_12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